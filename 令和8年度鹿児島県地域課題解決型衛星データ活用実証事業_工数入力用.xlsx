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地域課題解決型" sheetId="1" state="visible" r:id="rId3"/>
    <sheet name="AI課題NEDO" sheetId="2" state="visible" r:id="rId4"/>
    <sheet name="AI課題NEDO事務" sheetId="3" state="visible" r:id="rId5"/>
    <sheet name="事務作業の工数" sheetId="4" state="visible" r:id="rId6"/>
    <sheet name="AI課題の評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<sst xmlns="http://schemas.openxmlformats.org/spreadsheetml/2006/main" count="402" uniqueCount="276">
  <si>
    <t xml:space="preserve">地域課題解決型課題</t>
  </si>
  <si>
    <t xml:space="preserve">・過去の災害データや衛星写真、天気などから災害予測を行う</t>
  </si>
  <si>
    <r>
      <rPr>
        <sz val="11"/>
        <color theme="1"/>
        <rFont val="游ゴシック"/>
        <family val="2"/>
        <charset val="128"/>
      </rPr>
      <t xml:space="preserve">AI</t>
    </r>
    <r>
      <rPr>
        <sz val="11"/>
        <color theme="1"/>
        <rFont val="Noto Sans CJK JP"/>
        <family val="2"/>
        <charset val="1"/>
      </rPr>
      <t xml:space="preserve">課題</t>
    </r>
  </si>
  <si>
    <r>
      <rPr>
        <sz val="11"/>
        <color theme="1"/>
        <rFont val="游ゴシック"/>
        <family val="2"/>
        <charset val="128"/>
      </rPr>
      <t xml:space="preserve">1</t>
    </r>
    <r>
      <rPr>
        <sz val="11"/>
        <color theme="1"/>
        <rFont val="Noto Sans CJK JP"/>
        <family val="2"/>
        <charset val="1"/>
      </rPr>
      <t xml:space="preserve">　デキスパートによる写真の自動仕分け</t>
    </r>
  </si>
  <si>
    <r>
      <rPr>
        <sz val="11"/>
        <color theme="1"/>
        <rFont val="游ゴシック"/>
        <family val="2"/>
        <charset val="128"/>
      </rPr>
      <t xml:space="preserve">2</t>
    </r>
    <r>
      <rPr>
        <sz val="11"/>
        <color theme="1"/>
        <rFont val="Noto Sans CJK JP"/>
        <family val="2"/>
        <charset val="1"/>
      </rPr>
      <t xml:space="preserve">　役所からもらえるデータ（図面や設計書）から施工計画書を作成</t>
    </r>
  </si>
  <si>
    <r>
      <rPr>
        <sz val="11"/>
        <color theme="1"/>
        <rFont val="游ゴシック"/>
        <family val="2"/>
        <charset val="128"/>
      </rPr>
      <t xml:space="preserve">3</t>
    </r>
    <r>
      <rPr>
        <sz val="11"/>
        <color theme="1"/>
        <rFont val="Noto Sans CJK JP"/>
        <family val="2"/>
        <charset val="1"/>
      </rPr>
      <t xml:space="preserve">　災害発生個所のヒートマップを作成し、地域ごとの災害予測</t>
    </r>
  </si>
  <si>
    <r>
      <rPr>
        <sz val="11"/>
        <color theme="1"/>
        <rFont val="游ゴシック"/>
        <family val="2"/>
        <charset val="128"/>
      </rPr>
      <t xml:space="preserve">4</t>
    </r>
    <r>
      <rPr>
        <sz val="11"/>
        <color theme="1"/>
        <rFont val="Noto Sans CJK JP"/>
        <family val="2"/>
        <charset val="1"/>
      </rPr>
      <t xml:space="preserve">　過去の工事データから今回の工事の予算や工期、工事人員や重機等を予測する</t>
    </r>
  </si>
  <si>
    <r>
      <rPr>
        <sz val="11"/>
        <color theme="1"/>
        <rFont val="游ゴシック"/>
        <family val="2"/>
        <charset val="128"/>
      </rPr>
      <t xml:space="preserve">5</t>
    </r>
    <r>
      <rPr>
        <sz val="11"/>
        <color theme="1"/>
        <rFont val="Noto Sans CJK JP"/>
        <family val="2"/>
        <charset val="1"/>
      </rPr>
      <t xml:space="preserve">　現在の災害発見は報告があってから→衛生写真からリアルタイムで災害箇所を発見する</t>
    </r>
  </si>
  <si>
    <r>
      <rPr>
        <sz val="11"/>
        <color theme="1"/>
        <rFont val="游ゴシック"/>
        <family val="2"/>
        <charset val="128"/>
      </rPr>
      <t xml:space="preserve">6</t>
    </r>
    <r>
      <rPr>
        <sz val="11"/>
        <color theme="1"/>
        <rFont val="Noto Sans CJK JP"/>
        <family val="2"/>
        <charset val="1"/>
      </rPr>
      <t xml:space="preserve">　災害写真から役所資料の作成や役所への工事のプラン作成</t>
    </r>
  </si>
  <si>
    <r>
      <rPr>
        <sz val="11"/>
        <color theme="1"/>
        <rFont val="游ゴシック"/>
        <family val="2"/>
        <charset val="128"/>
      </rPr>
      <t xml:space="preserve">7</t>
    </r>
    <r>
      <rPr>
        <sz val="11"/>
        <color theme="1"/>
        <rFont val="Noto Sans CJK JP"/>
        <family val="2"/>
        <charset val="1"/>
      </rPr>
      <t xml:space="preserve">　工事中の人数や重機、材料等をリアルタイムで把握し、原価管理アプリ</t>
    </r>
  </si>
  <si>
    <r>
      <rPr>
        <sz val="11"/>
        <color theme="1"/>
        <rFont val="游ゴシック"/>
        <family val="2"/>
        <charset val="128"/>
      </rPr>
      <t xml:space="preserve">8</t>
    </r>
    <r>
      <rPr>
        <sz val="11"/>
        <color theme="1"/>
        <rFont val="Noto Sans CJK JP"/>
        <family val="2"/>
        <charset val="1"/>
      </rPr>
      <t xml:space="preserve">　創意工夫や安全面での課題を過去工事から予測する</t>
    </r>
  </si>
  <si>
    <r>
      <rPr>
        <sz val="11"/>
        <color theme="1"/>
        <rFont val="游ゴシック"/>
        <family val="2"/>
        <charset val="128"/>
      </rPr>
      <t xml:space="preserve">9</t>
    </r>
    <r>
      <rPr>
        <sz val="11"/>
        <color theme="1"/>
        <rFont val="Noto Sans CJK JP"/>
        <family val="2"/>
        <charset val="1"/>
      </rPr>
      <t xml:space="preserve">　過去の工事から類似工事を選択し、点数を上げるためのアイデアを算出する</t>
    </r>
  </si>
  <si>
    <r>
      <rPr>
        <sz val="11"/>
        <color theme="1"/>
        <rFont val="游ゴシック"/>
        <family val="2"/>
        <charset val="128"/>
      </rPr>
      <t xml:space="preserve">10</t>
    </r>
    <r>
      <rPr>
        <sz val="11"/>
        <color theme="1"/>
        <rFont val="Noto Sans CJK JP"/>
        <family val="2"/>
        <charset val="1"/>
      </rPr>
      <t xml:space="preserve">　写真の黒板を工事の流や、現在の作業状況から自動作成する</t>
    </r>
  </si>
  <si>
    <r>
      <rPr>
        <sz val="11"/>
        <color theme="1"/>
        <rFont val="游ゴシック"/>
        <family val="2"/>
        <charset val="128"/>
      </rPr>
      <t xml:space="preserve">11</t>
    </r>
    <r>
      <rPr>
        <sz val="11"/>
        <color theme="1"/>
        <rFont val="Noto Sans CJK JP"/>
        <family val="2"/>
        <charset val="1"/>
      </rPr>
      <t xml:space="preserve">　現場や事務からの課題を収集し、</t>
    </r>
    <r>
      <rPr>
        <sz val="11"/>
        <color theme="1"/>
        <rFont val="游ゴシック"/>
        <family val="2"/>
        <charset val="128"/>
      </rPr>
      <t xml:space="preserve">AI</t>
    </r>
    <r>
      <rPr>
        <sz val="11"/>
        <color theme="1"/>
        <rFont val="Noto Sans CJK JP"/>
        <family val="2"/>
        <charset val="1"/>
      </rPr>
      <t xml:space="preserve">による仕分けを行う</t>
    </r>
  </si>
  <si>
    <r>
      <rPr>
        <sz val="11"/>
        <color theme="1"/>
        <rFont val="游ゴシック"/>
        <family val="2"/>
        <charset val="128"/>
      </rPr>
      <t xml:space="preserve">12</t>
    </r>
    <r>
      <rPr>
        <sz val="11"/>
        <color theme="1"/>
        <rFont val="Noto Sans CJK JP"/>
        <family val="2"/>
        <charset val="1"/>
      </rPr>
      <t xml:space="preserve">　点群データの自動処理アプリ</t>
    </r>
  </si>
  <si>
    <t xml:space="preserve">工事書類</t>
  </si>
  <si>
    <r>
      <rPr>
        <sz val="11"/>
        <color theme="1"/>
        <rFont val="游ゴシック"/>
        <family val="2"/>
        <charset val="128"/>
      </rPr>
      <t xml:space="preserve">1</t>
    </r>
    <r>
      <rPr>
        <sz val="11"/>
        <color theme="1"/>
        <rFont val="Noto Sans CJK JP"/>
        <family val="2"/>
        <charset val="1"/>
      </rPr>
      <t xml:space="preserve">　施工計画書</t>
    </r>
  </si>
  <si>
    <t xml:space="preserve">作成</t>
  </si>
  <si>
    <r>
      <rPr>
        <sz val="11"/>
        <color theme="1"/>
        <rFont val="游ゴシック"/>
        <family val="2"/>
        <charset val="128"/>
      </rPr>
      <t xml:space="preserve">2</t>
    </r>
    <r>
      <rPr>
        <sz val="11"/>
        <color theme="1"/>
        <rFont val="Noto Sans CJK JP"/>
        <family val="2"/>
        <charset val="1"/>
      </rPr>
      <t xml:space="preserve">　材料承認願</t>
    </r>
  </si>
  <si>
    <r>
      <rPr>
        <sz val="11"/>
        <color theme="1"/>
        <rFont val="游ゴシック"/>
        <family val="2"/>
        <charset val="128"/>
      </rPr>
      <t xml:space="preserve">3</t>
    </r>
    <r>
      <rPr>
        <sz val="11"/>
        <color theme="1"/>
        <rFont val="Noto Sans CJK JP"/>
        <family val="2"/>
        <charset val="1"/>
      </rPr>
      <t xml:space="preserve">　施工体制</t>
    </r>
  </si>
  <si>
    <r>
      <rPr>
        <sz val="11"/>
        <color theme="1"/>
        <rFont val="游ゴシック"/>
        <family val="2"/>
        <charset val="128"/>
      </rPr>
      <t xml:space="preserve">4</t>
    </r>
    <r>
      <rPr>
        <sz val="11"/>
        <color theme="1"/>
        <rFont val="Noto Sans CJK JP"/>
        <family val="2"/>
        <charset val="1"/>
      </rPr>
      <t xml:space="preserve">　法面調査報告書</t>
    </r>
  </si>
  <si>
    <r>
      <rPr>
        <sz val="11"/>
        <color theme="1"/>
        <rFont val="游ゴシック"/>
        <family val="2"/>
        <charset val="128"/>
      </rPr>
      <t xml:space="preserve">5</t>
    </r>
    <r>
      <rPr>
        <sz val="11"/>
        <color theme="1"/>
        <rFont val="Noto Sans CJK JP"/>
        <family val="2"/>
        <charset val="1"/>
      </rPr>
      <t xml:space="preserve">　種子計算書</t>
    </r>
  </si>
  <si>
    <r>
      <rPr>
        <sz val="11"/>
        <color theme="1"/>
        <rFont val="游ゴシック"/>
        <family val="2"/>
        <charset val="128"/>
      </rPr>
      <t xml:space="preserve">6</t>
    </r>
    <r>
      <rPr>
        <sz val="11"/>
        <color theme="1"/>
        <rFont val="Noto Sans CJK JP"/>
        <family val="2"/>
        <charset val="1"/>
      </rPr>
      <t xml:space="preserve">　種子管理表</t>
    </r>
  </si>
  <si>
    <t xml:space="preserve">作成・スレッド共有</t>
  </si>
  <si>
    <r>
      <rPr>
        <sz val="11"/>
        <color theme="1"/>
        <rFont val="游ゴシック"/>
        <family val="2"/>
        <charset val="128"/>
      </rPr>
      <t xml:space="preserve">7</t>
    </r>
    <r>
      <rPr>
        <sz val="11"/>
        <color theme="1"/>
        <rFont val="Noto Sans CJK JP"/>
        <family val="2"/>
        <charset val="1"/>
      </rPr>
      <t xml:space="preserve">　試験練計画書</t>
    </r>
  </si>
  <si>
    <r>
      <rPr>
        <sz val="11"/>
        <color theme="1"/>
        <rFont val="游ゴシック"/>
        <family val="2"/>
        <charset val="128"/>
      </rPr>
      <t xml:space="preserve">8</t>
    </r>
    <r>
      <rPr>
        <sz val="11"/>
        <color theme="1"/>
        <rFont val="Noto Sans CJK JP"/>
        <family val="2"/>
        <charset val="1"/>
      </rPr>
      <t xml:space="preserve">　試験練報告書</t>
    </r>
  </si>
  <si>
    <r>
      <rPr>
        <sz val="11"/>
        <color theme="1"/>
        <rFont val="游ゴシック"/>
        <family val="2"/>
        <charset val="128"/>
      </rPr>
      <t xml:space="preserve">9</t>
    </r>
    <r>
      <rPr>
        <sz val="11"/>
        <color theme="1"/>
        <rFont val="Noto Sans CJK JP"/>
        <family val="2"/>
        <charset val="1"/>
      </rPr>
      <t xml:space="preserve">　創意工夫</t>
    </r>
  </si>
  <si>
    <r>
      <rPr>
        <sz val="11"/>
        <color theme="1"/>
        <rFont val="游ゴシック"/>
        <family val="2"/>
        <charset val="128"/>
      </rPr>
      <t xml:space="preserve">10</t>
    </r>
    <r>
      <rPr>
        <sz val="11"/>
        <color theme="1"/>
        <rFont val="Noto Sans CJK JP"/>
        <family val="2"/>
        <charset val="1"/>
      </rPr>
      <t xml:space="preserve">　出荷証明依頼書</t>
    </r>
  </si>
  <si>
    <t xml:space="preserve">作成・メール送信</t>
  </si>
  <si>
    <r>
      <rPr>
        <sz val="11"/>
        <color theme="1"/>
        <rFont val="游ゴシック"/>
        <family val="2"/>
        <charset val="128"/>
      </rPr>
      <t xml:space="preserve">11</t>
    </r>
    <r>
      <rPr>
        <sz val="11"/>
        <color theme="1"/>
        <rFont val="Noto Sans CJK JP"/>
        <family val="2"/>
        <charset val="1"/>
      </rPr>
      <t xml:space="preserve">　引抜き試験計画書</t>
    </r>
  </si>
  <si>
    <r>
      <rPr>
        <sz val="11"/>
        <color theme="1"/>
        <rFont val="游ゴシック"/>
        <family val="2"/>
        <charset val="128"/>
      </rPr>
      <t xml:space="preserve">12</t>
    </r>
    <r>
      <rPr>
        <sz val="11"/>
        <color theme="1"/>
        <rFont val="Noto Sans CJK JP"/>
        <family val="2"/>
        <charset val="1"/>
      </rPr>
      <t xml:space="preserve">　引抜き試験報告書</t>
    </r>
  </si>
  <si>
    <r>
      <rPr>
        <sz val="11"/>
        <color theme="1"/>
        <rFont val="游ゴシック"/>
        <family val="2"/>
        <charset val="128"/>
      </rPr>
      <t xml:space="preserve">13</t>
    </r>
    <r>
      <rPr>
        <sz val="11"/>
        <color theme="1"/>
        <rFont val="Noto Sans CJK JP"/>
        <family val="2"/>
        <charset val="1"/>
      </rPr>
      <t xml:space="preserve">　写真整理</t>
    </r>
  </si>
  <si>
    <t xml:space="preserve">整理・不足写真一覧表作成・提出データ作成</t>
  </si>
  <si>
    <t xml:space="preserve">現場補助業務</t>
  </si>
  <si>
    <r>
      <rPr>
        <sz val="11"/>
        <color theme="1"/>
        <rFont val="游ゴシック"/>
        <family val="2"/>
        <charset val="128"/>
      </rPr>
      <t xml:space="preserve">14</t>
    </r>
    <r>
      <rPr>
        <sz val="11"/>
        <color theme="1"/>
        <rFont val="Noto Sans CJK JP"/>
        <family val="2"/>
        <charset val="1"/>
      </rPr>
      <t xml:space="preserve">　現場地図メール送信</t>
    </r>
  </si>
  <si>
    <r>
      <rPr>
        <sz val="11"/>
        <color theme="1"/>
        <rFont val="游ゴシック"/>
        <family val="2"/>
        <charset val="128"/>
      </rPr>
      <t xml:space="preserve">15</t>
    </r>
    <r>
      <rPr>
        <sz val="11"/>
        <color theme="1"/>
        <rFont val="Noto Sans CJK JP"/>
        <family val="2"/>
        <charset val="1"/>
      </rPr>
      <t xml:space="preserve">　工事日報チェック・</t>
    </r>
    <r>
      <rPr>
        <sz val="11"/>
        <color theme="1"/>
        <rFont val="游ゴシック"/>
        <family val="2"/>
        <charset val="128"/>
      </rPr>
      <t xml:space="preserve">DL</t>
    </r>
  </si>
  <si>
    <r>
      <rPr>
        <sz val="11"/>
        <color theme="1"/>
        <rFont val="游ゴシック"/>
        <family val="2"/>
        <charset val="128"/>
      </rPr>
      <t xml:space="preserve">16</t>
    </r>
    <r>
      <rPr>
        <sz val="11"/>
        <color theme="1"/>
        <rFont val="Noto Sans CJK JP"/>
        <family val="2"/>
        <charset val="1"/>
      </rPr>
      <t xml:space="preserve">　工事完了報告書</t>
    </r>
  </si>
  <si>
    <t xml:space="preserve">ひな形作成</t>
  </si>
  <si>
    <r>
      <rPr>
        <sz val="11"/>
        <color theme="1"/>
        <rFont val="游ゴシック"/>
        <family val="2"/>
        <charset val="128"/>
      </rPr>
      <t xml:space="preserve">17</t>
    </r>
    <r>
      <rPr>
        <sz val="11"/>
        <color theme="1"/>
        <rFont val="Noto Sans CJK JP"/>
        <family val="2"/>
        <charset val="1"/>
      </rPr>
      <t xml:space="preserve">　デキスパートデータ</t>
    </r>
  </si>
  <si>
    <t xml:space="preserve">作成・転送</t>
  </si>
  <si>
    <r>
      <rPr>
        <sz val="11"/>
        <color theme="1"/>
        <rFont val="游ゴシック"/>
        <family val="2"/>
        <charset val="128"/>
      </rPr>
      <t xml:space="preserve">18</t>
    </r>
    <r>
      <rPr>
        <sz val="11"/>
        <color theme="1"/>
        <rFont val="Noto Sans CJK JP"/>
        <family val="2"/>
        <charset val="1"/>
      </rPr>
      <t xml:space="preserve">　</t>
    </r>
    <r>
      <rPr>
        <sz val="11"/>
        <color theme="1"/>
        <rFont val="游ゴシック"/>
        <family val="2"/>
        <charset val="128"/>
      </rPr>
      <t xml:space="preserve">SiteBox</t>
    </r>
  </si>
  <si>
    <t xml:space="preserve">作成・メンバー追加</t>
  </si>
  <si>
    <t xml:space="preserve">その他</t>
  </si>
  <si>
    <r>
      <rPr>
        <sz val="11"/>
        <color theme="1"/>
        <rFont val="游ゴシック"/>
        <family val="2"/>
        <charset val="128"/>
      </rPr>
      <t xml:space="preserve">19</t>
    </r>
    <r>
      <rPr>
        <sz val="11"/>
        <color theme="1"/>
        <rFont val="Noto Sans CJK JP"/>
        <family val="2"/>
        <charset val="1"/>
      </rPr>
      <t xml:space="preserve">　明日のスケジュール</t>
    </r>
  </si>
  <si>
    <r>
      <rPr>
        <sz val="11"/>
        <color theme="1"/>
        <rFont val="游ゴシック"/>
        <family val="2"/>
        <charset val="128"/>
      </rPr>
      <t xml:space="preserve">20</t>
    </r>
    <r>
      <rPr>
        <sz val="11"/>
        <color theme="1"/>
        <rFont val="Noto Sans CJK JP"/>
        <family val="2"/>
        <charset val="1"/>
      </rPr>
      <t xml:space="preserve">　種子計算書</t>
    </r>
  </si>
  <si>
    <t xml:space="preserve">原本の文言整理</t>
  </si>
  <si>
    <r>
      <rPr>
        <sz val="11"/>
        <color theme="1"/>
        <rFont val="游ゴシック"/>
        <family val="2"/>
        <charset val="128"/>
      </rPr>
      <t xml:space="preserve">21</t>
    </r>
    <r>
      <rPr>
        <sz val="11"/>
        <color theme="1"/>
        <rFont val="Noto Sans CJK JP"/>
        <family val="2"/>
        <charset val="1"/>
      </rPr>
      <t xml:space="preserve">　施工計画書</t>
    </r>
  </si>
  <si>
    <t xml:space="preserve">施工方法の文言整理</t>
  </si>
  <si>
    <r>
      <rPr>
        <sz val="11"/>
        <color theme="1"/>
        <rFont val="游ゴシック"/>
        <family val="2"/>
        <charset val="128"/>
      </rPr>
      <t xml:space="preserve">22</t>
    </r>
    <r>
      <rPr>
        <sz val="11"/>
        <color theme="1"/>
        <rFont val="Noto Sans CJK JP"/>
        <family val="2"/>
        <charset val="1"/>
      </rPr>
      <t xml:space="preserve">　作業手順書</t>
    </r>
  </si>
  <si>
    <t xml:space="preserve">文言整理</t>
  </si>
  <si>
    <r>
      <rPr>
        <sz val="11"/>
        <color theme="1"/>
        <rFont val="游ゴシック"/>
        <family val="2"/>
        <charset val="128"/>
      </rPr>
      <t xml:space="preserve">23</t>
    </r>
    <r>
      <rPr>
        <sz val="11"/>
        <color theme="1"/>
        <rFont val="Noto Sans CJK JP"/>
        <family val="2"/>
        <charset val="1"/>
      </rPr>
      <t xml:space="preserve">　法面調査報告書</t>
    </r>
  </si>
  <si>
    <r>
      <rPr>
        <sz val="11"/>
        <color theme="1"/>
        <rFont val="游ゴシック"/>
        <family val="2"/>
        <charset val="128"/>
      </rPr>
      <t xml:space="preserve">24</t>
    </r>
    <r>
      <rPr>
        <sz val="11"/>
        <color theme="1"/>
        <rFont val="Noto Sans CJK JP"/>
        <family val="2"/>
        <charset val="1"/>
      </rPr>
      <t xml:space="preserve">　未対応のタスク整理</t>
    </r>
  </si>
  <si>
    <r>
      <rPr>
        <sz val="11"/>
        <color theme="1"/>
        <rFont val="游ゴシック"/>
        <family val="2"/>
        <charset val="128"/>
      </rPr>
      <t xml:space="preserve">25</t>
    </r>
    <r>
      <rPr>
        <sz val="11"/>
        <color theme="1"/>
        <rFont val="Noto Sans CJK JP"/>
        <family val="2"/>
        <charset val="1"/>
      </rPr>
      <t xml:space="preserve">　施工方法マニュアル</t>
    </r>
  </si>
  <si>
    <r>
      <rPr>
        <sz val="11"/>
        <color theme="1"/>
        <rFont val="游ゴシック"/>
        <family val="2"/>
        <charset val="128"/>
      </rPr>
      <t xml:space="preserve">26</t>
    </r>
    <r>
      <rPr>
        <sz val="11"/>
        <color theme="1"/>
        <rFont val="Noto Sans CJK JP"/>
        <family val="2"/>
        <charset val="1"/>
      </rPr>
      <t xml:space="preserve">　法面作業計画書</t>
    </r>
  </si>
  <si>
    <t xml:space="preserve">スレッドへの注意喚起</t>
  </si>
  <si>
    <r>
      <rPr>
        <sz val="11"/>
        <color theme="1"/>
        <rFont val="游ゴシック"/>
        <family val="2"/>
        <charset val="128"/>
      </rPr>
      <t xml:space="preserve">27</t>
    </r>
    <r>
      <rPr>
        <sz val="11"/>
        <color theme="1"/>
        <rFont val="Noto Sans CJK JP"/>
        <family val="2"/>
        <charset val="1"/>
      </rPr>
      <t xml:space="preserve">　出面</t>
    </r>
  </si>
  <si>
    <r>
      <rPr>
        <sz val="11"/>
        <color theme="1"/>
        <rFont val="游ゴシック"/>
        <family val="2"/>
        <charset val="128"/>
      </rPr>
      <t xml:space="preserve">CB</t>
    </r>
    <r>
      <rPr>
        <sz val="11"/>
        <color theme="1"/>
        <rFont val="Noto Sans CJK JP"/>
        <family val="2"/>
        <charset val="1"/>
      </rPr>
      <t xml:space="preserve">ダウンロード・保存</t>
    </r>
  </si>
  <si>
    <r>
      <rPr>
        <sz val="11"/>
        <color theme="1"/>
        <rFont val="游ゴシック"/>
        <family val="2"/>
        <charset val="128"/>
      </rPr>
      <t xml:space="preserve">28</t>
    </r>
    <r>
      <rPr>
        <sz val="11"/>
        <color theme="1"/>
        <rFont val="Noto Sans CJK JP"/>
        <family val="2"/>
        <charset val="1"/>
      </rPr>
      <t xml:space="preserve">　建退共</t>
    </r>
  </si>
  <si>
    <r>
      <rPr>
        <sz val="11"/>
        <color theme="1"/>
        <rFont val="游ゴシック"/>
        <family val="2"/>
        <charset val="128"/>
      </rPr>
      <t xml:space="preserve">CB</t>
    </r>
    <r>
      <rPr>
        <sz val="11"/>
        <color theme="1"/>
        <rFont val="Noto Sans CJK JP"/>
        <family val="2"/>
        <charset val="1"/>
      </rPr>
      <t xml:space="preserve">ダウンロード・編集・保存</t>
    </r>
  </si>
  <si>
    <r>
      <rPr>
        <sz val="11"/>
        <color theme="1"/>
        <rFont val="游ゴシック"/>
        <family val="2"/>
        <charset val="128"/>
      </rPr>
      <t xml:space="preserve">29</t>
    </r>
    <r>
      <rPr>
        <sz val="11"/>
        <color theme="1"/>
        <rFont val="Noto Sans CJK JP"/>
        <family val="2"/>
        <charset val="1"/>
      </rPr>
      <t xml:space="preserve">　</t>
    </r>
    <r>
      <rPr>
        <sz val="11"/>
        <color theme="1"/>
        <rFont val="游ゴシック"/>
        <family val="2"/>
        <charset val="128"/>
      </rPr>
      <t xml:space="preserve">Buildee</t>
    </r>
  </si>
  <si>
    <t xml:space="preserve">作業員資格一覧の整理・更新</t>
  </si>
  <si>
    <r>
      <rPr>
        <sz val="11"/>
        <color theme="1"/>
        <rFont val="游ゴシック"/>
        <family val="2"/>
        <charset val="128"/>
      </rPr>
      <t xml:space="preserve">30</t>
    </r>
    <r>
      <rPr>
        <sz val="11"/>
        <color theme="1"/>
        <rFont val="Noto Sans CJK JP"/>
        <family val="2"/>
        <charset val="1"/>
      </rPr>
      <t xml:space="preserve">　グリーンファイル</t>
    </r>
  </si>
  <si>
    <r>
      <rPr>
        <sz val="11"/>
        <color theme="1"/>
        <rFont val="游ゴシック"/>
        <family val="2"/>
        <charset val="128"/>
      </rPr>
      <t xml:space="preserve">31</t>
    </r>
    <r>
      <rPr>
        <sz val="11"/>
        <color theme="1"/>
        <rFont val="Noto Sans CJK JP"/>
        <family val="2"/>
        <charset val="1"/>
      </rPr>
      <t xml:space="preserve">　労務費調査</t>
    </r>
  </si>
  <si>
    <t xml:space="preserve">事務作業の工数しらべ</t>
  </si>
  <si>
    <r>
      <rPr>
        <sz val="10"/>
        <color rgb="FF555555"/>
        <rFont val="游ゴシック"/>
        <family val="0"/>
        <charset val="1"/>
      </rPr>
      <t xml:space="preserve">NEDO </t>
    </r>
    <r>
      <rPr>
        <sz val="10"/>
        <color rgb="FF555555"/>
        <rFont val="Noto Sans CJK JP"/>
        <family val="2"/>
        <charset val="1"/>
      </rPr>
      <t xml:space="preserve">懸賞案件の「効果」を書くために、各作業にどれだけ時間がかかっているかを把握します。黄色のセルにご記入ください。年間工数は自動で計算されます。</t>
    </r>
  </si>
  <si>
    <t xml:space="preserve">記入欄＝黄色　／　自動計算＝灰色　／　4行目は記入例です（実際の記入は5行目から）　※ わかる範囲で構いません。概算で結構です。</t>
  </si>
  <si>
    <t xml:space="preserve">分類</t>
  </si>
  <si>
    <t xml:space="preserve">No</t>
  </si>
  <si>
    <t xml:space="preserve">項目</t>
  </si>
  <si>
    <t xml:space="preserve">作業内容</t>
  </si>
  <si>
    <t xml:space="preserve">頻度
(回/月)</t>
  </si>
  <si>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Noto Sans CJK JP"/>
        <family val="2"/>
        <charset val="1"/>
      </rPr>
      <t xml:space="preserve">回あたり
</t>
    </r>
    <r>
      <rPr>
        <b val="true"/>
        <sz val="10"/>
        <rFont val="游ゴシック"/>
        <family val="0"/>
        <charset val="1"/>
      </rPr>
      <t xml:space="preserve">(</t>
    </r>
    <r>
      <rPr>
        <b val="true"/>
        <sz val="10"/>
        <rFont val="Noto Sans CJK JP"/>
        <family val="2"/>
        <charset val="1"/>
      </rPr>
      <t xml:space="preserve">分</t>
    </r>
    <r>
      <rPr>
        <b val="true"/>
        <sz val="10"/>
        <rFont val="游ゴシック"/>
        <family val="0"/>
        <charset val="1"/>
      </rPr>
      <t xml:space="preserve">)</t>
    </r>
  </si>
  <si>
    <t xml:space="preserve">担当
人数</t>
  </si>
  <si>
    <t xml:space="preserve">年間工数
(時間)</t>
  </si>
  <si>
    <t xml:space="preserve">自動化の
余地</t>
  </si>
  <si>
    <t xml:space="preserve">備考（やりにくい点・時間がかかる理由）</t>
  </si>
  <si>
    <t xml:space="preserve">例</t>
  </si>
  <si>
    <t xml:space="preserve">施工計画書</t>
  </si>
  <si>
    <t xml:space="preserve">高</t>
  </si>
  <si>
    <t xml:space="preserve">前工事からの転記が多く、毎回同じ内容を打ち直している</t>
  </si>
  <si>
    <t xml:space="preserve">1</t>
  </si>
  <si>
    <t xml:space="preserve">2</t>
  </si>
  <si>
    <t xml:space="preserve">材料承認願</t>
  </si>
  <si>
    <t xml:space="preserve">3</t>
  </si>
  <si>
    <t xml:space="preserve">施工体制</t>
  </si>
  <si>
    <t xml:space="preserve">4</t>
  </si>
  <si>
    <t xml:space="preserve">法面調査報告書</t>
  </si>
  <si>
    <t xml:space="preserve">5</t>
  </si>
  <si>
    <t xml:space="preserve">種子計算書</t>
  </si>
  <si>
    <t xml:space="preserve">6</t>
  </si>
  <si>
    <t xml:space="preserve">種子管理表</t>
  </si>
  <si>
    <t xml:space="preserve">7</t>
  </si>
  <si>
    <t xml:space="preserve">試験練計画書</t>
  </si>
  <si>
    <t xml:space="preserve">8</t>
  </si>
  <si>
    <t xml:space="preserve">試験練報告書</t>
  </si>
  <si>
    <t xml:space="preserve">9</t>
  </si>
  <si>
    <t xml:space="preserve">創意工夫</t>
  </si>
  <si>
    <t xml:space="preserve">10</t>
  </si>
  <si>
    <t xml:space="preserve">出荷証明依頼書</t>
  </si>
  <si>
    <t xml:space="preserve">11</t>
  </si>
  <si>
    <t xml:space="preserve">引抜き試験計画書</t>
  </si>
  <si>
    <t xml:space="preserve">12</t>
  </si>
  <si>
    <t xml:space="preserve">引抜き試験報告書</t>
  </si>
  <si>
    <t xml:space="preserve">13</t>
  </si>
  <si>
    <t xml:space="preserve">写真整理</t>
  </si>
  <si>
    <t xml:space="preserve">14</t>
  </si>
  <si>
    <t xml:space="preserve">現場地図メール送信</t>
  </si>
  <si>
    <t xml:space="preserve">15</t>
  </si>
  <si>
    <t xml:space="preserve">工事日報チェック・DL</t>
  </si>
  <si>
    <t xml:space="preserve">16</t>
  </si>
  <si>
    <t xml:space="preserve">工事完了報告書</t>
  </si>
  <si>
    <t xml:space="preserve">17</t>
  </si>
  <si>
    <t xml:space="preserve">デキスパートデータ</t>
  </si>
  <si>
    <t xml:space="preserve">18</t>
  </si>
  <si>
    <t xml:space="preserve">SiteBox</t>
  </si>
  <si>
    <t xml:space="preserve">19</t>
  </si>
  <si>
    <t xml:space="preserve">明日のスケジュール</t>
  </si>
  <si>
    <t xml:space="preserve">20</t>
  </si>
  <si>
    <t xml:space="preserve">21</t>
  </si>
  <si>
    <t xml:space="preserve">22</t>
  </si>
  <si>
    <t xml:space="preserve">作業手順書</t>
  </si>
  <si>
    <t xml:space="preserve">23</t>
  </si>
  <si>
    <t xml:space="preserve">24</t>
  </si>
  <si>
    <t xml:space="preserve">未対応のタスク整理</t>
  </si>
  <si>
    <t xml:space="preserve">25</t>
  </si>
  <si>
    <t xml:space="preserve">施工方法マニュアル</t>
  </si>
  <si>
    <t xml:space="preserve">26</t>
  </si>
  <si>
    <t xml:space="preserve">法面作業計画書</t>
  </si>
  <si>
    <t xml:space="preserve">27</t>
  </si>
  <si>
    <t xml:space="preserve">出面</t>
  </si>
  <si>
    <r>
      <rPr>
        <sz val="10"/>
        <rFont val="游ゴシック"/>
        <family val="0"/>
        <charset val="1"/>
      </rPr>
      <t xml:space="preserve">CB</t>
    </r>
    <r>
      <rPr>
        <sz val="10"/>
        <rFont val="Noto Sans CJK JP"/>
        <family val="2"/>
        <charset val="1"/>
      </rPr>
      <t xml:space="preserve">ダウンロード・保存</t>
    </r>
  </si>
  <si>
    <t xml:space="preserve">28</t>
  </si>
  <si>
    <t xml:space="preserve">建退共</t>
  </si>
  <si>
    <r>
      <rPr>
        <sz val="10"/>
        <rFont val="游ゴシック"/>
        <family val="0"/>
        <charset val="1"/>
      </rPr>
      <t xml:space="preserve">CB</t>
    </r>
    <r>
      <rPr>
        <sz val="10"/>
        <rFont val="Noto Sans CJK JP"/>
        <family val="2"/>
        <charset val="1"/>
      </rPr>
      <t xml:space="preserve">ダウンロード・編集・保存</t>
    </r>
  </si>
  <si>
    <t xml:space="preserve">29</t>
  </si>
  <si>
    <t xml:space="preserve">Buildee</t>
  </si>
  <si>
    <t xml:space="preserve">30</t>
  </si>
  <si>
    <t xml:space="preserve">グリーンファイル</t>
  </si>
  <si>
    <t xml:space="preserve">31</t>
  </si>
  <si>
    <t xml:space="preserve">労務費調査</t>
  </si>
  <si>
    <t xml:space="preserve">合計</t>
  </si>
  <si>
    <t xml:space="preserve">年間合計 →</t>
  </si>
  <si>
    <t xml:space="preserve">計算式</t>
  </si>
  <si>
    <t xml:space="preserve">年間工数(時間) ＝ 頻度(回/月) × 12ヶ月 × 1回あたり(分) × 担当人数 ÷ 60</t>
  </si>
  <si>
    <t xml:space="preserve">※ 出典：作業項目は「AI課題NEDO事務」シート（葉月工業 生野様 作成）。工数は記入者による実績・概算。</t>
  </si>
  <si>
    <r>
      <rPr>
        <b val="true"/>
        <sz val="14"/>
        <rFont val="游ゴシック"/>
        <family val="0"/>
        <charset val="1"/>
      </rPr>
      <t xml:space="preserve">AI</t>
    </r>
    <r>
      <rPr>
        <b val="true"/>
        <sz val="14"/>
        <rFont val="Noto Sans CJK JP"/>
        <family val="2"/>
        <charset val="1"/>
      </rPr>
      <t xml:space="preserve">課題 </t>
    </r>
    <r>
      <rPr>
        <b val="true"/>
        <sz val="14"/>
        <rFont val="游ゴシック"/>
        <family val="0"/>
        <charset val="1"/>
      </rPr>
      <t xml:space="preserve">12</t>
    </r>
    <r>
      <rPr>
        <b val="true"/>
        <sz val="14"/>
        <rFont val="Noto Sans CJK JP"/>
        <family val="2"/>
        <charset val="1"/>
      </rPr>
      <t xml:space="preserve">項目の整理</t>
    </r>
  </si>
  <si>
    <r>
      <rPr>
        <sz val="10"/>
        <color rgb="FF555555"/>
        <rFont val="游ゴシック"/>
        <family val="0"/>
        <charset val="1"/>
      </rPr>
      <t xml:space="preserve">NEDO </t>
    </r>
    <r>
      <rPr>
        <sz val="10"/>
        <color rgb="FF555555"/>
        <rFont val="Noto Sans CJK JP"/>
        <family val="2"/>
        <charset val="1"/>
      </rPr>
      <t xml:space="preserve">懸賞案件として出す順番を決めるための整理表です。「現状」と「データの有無」は事実を記入済みです。黄色の</t>
    </r>
    <r>
      <rPr>
        <sz val="10"/>
        <color rgb="FF555555"/>
        <rFont val="游ゴシック"/>
        <family val="0"/>
        <charset val="1"/>
      </rPr>
      <t xml:space="preserve">2</t>
    </r>
    <r>
      <rPr>
        <sz val="10"/>
        <color rgb="FF555555"/>
        <rFont val="Noto Sans CJK JP"/>
        <family val="2"/>
        <charset val="1"/>
      </rPr>
      <t xml:space="preserve">列（効果・実現性）にご評価をご記入ください。</t>
    </r>
  </si>
  <si>
    <t xml:space="preserve">記入欄＝黄色（5段階：5が最も高い）　／　自動計算＝灰色　／　4行目は記入例です（実際の記入は5行目から）</t>
  </si>
  <si>
    <t xml:space="preserve">課題</t>
  </si>
  <si>
    <t xml:space="preserve">現状</t>
  </si>
  <si>
    <t xml:space="preserve">使えるデータ</t>
  </si>
  <si>
    <t xml:space="preserve">効果
(1-5)</t>
  </si>
  <si>
    <t xml:space="preserve">実現性
(1-5)</t>
  </si>
  <si>
    <t xml:space="preserve">総合点
(効果×実現性)</t>
  </si>
  <si>
    <t xml:space="preserve">備考</t>
  </si>
  <si>
    <t xml:space="preserve">技術的な難易度</t>
  </si>
  <si>
    <t xml:space="preserve">技術面の見立て（詰まる所）</t>
  </si>
  <si>
    <t xml:space="preserve">テーマ1への適合</t>
  </si>
  <si>
    <r>
      <rPr>
        <b val="true"/>
        <sz val="10"/>
        <rFont val="游ゴシック"/>
        <family val="0"/>
        <charset val="1"/>
      </rPr>
      <t xml:space="preserve">11</t>
    </r>
    <r>
      <rPr>
        <b val="true"/>
        <sz val="10"/>
        <rFont val="Noto Sans CJK JP"/>
        <family val="2"/>
        <charset val="1"/>
      </rPr>
      <t xml:space="preserve">月末のデモ動画を作れるか</t>
    </r>
  </si>
  <si>
    <t xml:space="preserve">今後の扱い</t>
  </si>
  <si>
    <t xml:space="preserve">開発としてどうするか</t>
  </si>
  <si>
    <t xml:space="preserve">（記入例）作業日報の自動集計</t>
  </si>
  <si>
    <t xml:space="preserve">構想</t>
  </si>
  <si>
    <t xml:space="preserve">あり（日報データ）</t>
  </si>
  <si>
    <t xml:space="preserve">効果は大きいが、様式がばらばらで整備に時間がかかる</t>
  </si>
  <si>
    <t xml:space="preserve">低</t>
  </si>
  <si>
    <t xml:space="preserve">（記入例）様式が揃っていれば単純な集計で済む</t>
  </si>
  <si>
    <t xml:space="preserve">デキスパートによる写真の自動仕分け</t>
  </si>
  <si>
    <t xml:space="preserve">あり（既存の写真データ）</t>
  </si>
  <si>
    <t xml:space="preserve">仕分け済みの写真がもらえるなら、画像分類とOCRで素直に作れる。</t>
  </si>
  <si>
    <t xml:space="preserve">○</t>
  </si>
  <si>
    <t xml:space="preserve">作れる
事務負担の削減に直結。画像AIが主で、国産基盤モデルへの貢献はやや弱い。</t>
  </si>
  <si>
    <r>
      <rPr>
        <b val="true"/>
        <sz val="10"/>
        <rFont val="游ゴシック"/>
        <family val="0"/>
        <charset val="1"/>
      </rPr>
      <t xml:space="preserve">GENIAC</t>
    </r>
    <r>
      <rPr>
        <b val="true"/>
        <sz val="10"/>
        <rFont val="Noto Sans CJK JP"/>
        <family val="2"/>
        <charset val="1"/>
      </rPr>
      <t xml:space="preserve">に出す</t>
    </r>
  </si>
  <si>
    <t xml:space="preserve">写真の自動仕分け。単独でも成立する。</t>
  </si>
  <si>
    <t xml:space="preserve">役所からもらえるデータ（図面や設計書）から施工計画書を作成</t>
  </si>
  <si>
    <t xml:space="preserve">一部あり（発注図・設計書）</t>
  </si>
  <si>
    <t xml:space="preserve">今井様の依頼①で収集中の設計図データが該当</t>
  </si>
  <si>
    <t xml:space="preserve">過去の施工計画書がもらえるなら、LLMで作れる。蓄積がそのまま資産になる。12項目で最も筋がいい。</t>
  </si>
  <si>
    <t xml:space="preserve">◎</t>
  </si>
  <si>
    <t xml:space="preserve">作れる
書類作成という業務プロセスそのものの作り直し。国産LLMを使う話にできる。テーマとの相性が最も良い。</t>
  </si>
  <si>
    <t xml:space="preserve">図面・設計書から施工計画書。過去の施工計画書が資産になる。</t>
  </si>
  <si>
    <t xml:space="preserve">災害発生個所のヒートマップを作成し、地域ごとの災害予測</t>
  </si>
  <si>
    <t xml:space="preserve">あり（過去工事一覧322件）</t>
  </si>
  <si>
    <t xml:space="preserve">県実証事業（衛星データ）と重なる</t>
  </si>
  <si>
    <t xml:space="preserve">中</t>
  </si>
  <si>
    <t xml:space="preserve">工事位置の可視化は即できる。ただし「災害予測」には災害の発生実績が要る（工事履歴は災害履歴ではない）。</t>
  </si>
  <si>
    <t xml:space="preserve">△</t>
  </si>
  <si>
    <t xml:space="preserve">作れる（可視化まで）
防災寄りで、業務プロセス改革という切り口からは外れる。県の実証事業と重複。</t>
  </si>
  <si>
    <t xml:space="preserve">県の実証事業</t>
  </si>
  <si>
    <t xml:space="preserve">工事位置の可視化まではすぐできる。災害予測は県の衛星データ実証事業の側で扱う。</t>
  </si>
  <si>
    <t xml:space="preserve">過去の工事データから今回の工事の予算や工期、工事人員や重機等を予測する</t>
  </si>
  <si>
    <t xml:space="preserve">あり（過去工事の実績）</t>
  </si>
  <si>
    <t xml:space="preserve">データをもらっても件数は増えない。322件を工種で分けると実質数十件で、予測モデルには足りない。「予測」ではなく「過去の類似工事の実績を並べる」なら確実にできる。</t>
  </si>
  <si>
    <t xml:space="preserve">×</t>
  </si>
  <si>
    <t xml:space="preserve">難しい
件数不足で11月末までに動くものを作れない。今回は見送り。</t>
  </si>
  <si>
    <t xml:space="preserve">開発する</t>
  </si>
  <si>
    <t xml:space="preserve">「予測」ではなく「過去の類似工事の実績を並べる」として作る。No.8・No.9 と同じ基盤（過去工事の検索・参照）で 3項目まとめて満たせる。</t>
  </si>
  <si>
    <t xml:space="preserve">衛星写真からリアルタイムで災害箇所を発見する</t>
  </si>
  <si>
    <t xml:space="preserve">要調達（衛星画像）</t>
  </si>
  <si>
    <t xml:space="preserve">県実証事業の本体テーマ</t>
  </si>
  <si>
    <t xml:space="preserve">前提の見直し</t>
  </si>
  <si>
    <t xml:space="preserve">分単位のリアルタイムは衛星では原理的に不可能（再訪周期の制約）。商用SARで数時間〜1日の準リアルタイムなら可能だが費用がかかる。言葉の定義から見直しが要る。</t>
  </si>
  <si>
    <t xml:space="preserve">難しい
衛星の再訪周期の制約。テーマ2でもなく、今回のテーマからは外れる。</t>
  </si>
  <si>
    <t xml:space="preserve">採択済みの県実証事業の本体テーマ。GENIAC と二重に出さない。なお「リアルタイム」の定義は県事業の中でも見直しが要る。</t>
  </si>
  <si>
    <t xml:space="preserve">災害写真から役所資料の作成や工事プラン作成</t>
  </si>
  <si>
    <t xml:space="preserve">あり（災害写真）</t>
  </si>
  <si>
    <t xml:space="preserve">提出様式が決まっていればLLMで作れる。</t>
  </si>
  <si>
    <t xml:space="preserve">作れる
災害対応の書類作成。人手不足の現場で効く。国産LLMの用途として素直。</t>
  </si>
  <si>
    <t xml:space="preserve">災害写真から役所資料。人手不足の現場に直接効く。</t>
  </si>
  <si>
    <t xml:space="preserve">工事中の人数・重機・材料をリアルタイムで把握する原価管理アプリ</t>
  </si>
  <si>
    <t xml:space="preserve">要整備（現場からの入力が要る）</t>
  </si>
  <si>
    <t xml:space="preserve">技術的には作れる。現場の全面協力が得られる前提なら、入力が続くかという懸念は解消する。残る論点は入力の軽さ。写真・日報・位置情報など既に発生しているものから自動で拾い、人が打つ項目を最小限にする設計が要る。</t>
  </si>
  <si>
    <t xml:space="preserve">作れる
現場で実際に回して効果を測れるので、導入効果を実測で示せる。</t>
  </si>
  <si>
    <t xml:space="preserve">現場の全面協力が得られるため、実証環境としてそのまま使える。入力を最小化する設計にすること。</t>
  </si>
  <si>
    <t xml:space="preserve">創意工夫や安全面での課題を過去工事から予測する</t>
  </si>
  <si>
    <t xml:space="preserve">あり（創意工夫の提出実績）</t>
  </si>
  <si>
    <t xml:space="preserve">過去の創意工夫がもらえるなら「類似検索」は確実に作れる。「予測」は言い換えが要る。</t>
  </si>
  <si>
    <t xml:space="preserve">作れる
過去の創意工夫からの類似検索。書類作成支援として組み込める。</t>
  </si>
  <si>
    <t xml:space="preserve">創意工夫の類似検索。No.4・No.9 と同じ基盤に乗る。</t>
  </si>
  <si>
    <t xml:space="preserve">過去工事から類似工事を選び、点数を上げるアイデアを算出する</t>
  </si>
  <si>
    <t xml:space="preserve">あり（過去工事の成績）</t>
  </si>
  <si>
    <t xml:space="preserve">「類似工事を出す」は作れる。「点数を上げるアイデアを算出」は正解が定義できず、良し悪しを評価できない。データの量ではなく、問いの立て方の問題。</t>
  </si>
  <si>
    <t xml:space="preserve">難しい
正解が定義できず、効果を数字で示せない。今回は見送り。</t>
  </si>
  <si>
    <t xml:space="preserve">「点数を上げるアイデアの算出」は作れない。「類似工事を出す」は No.4 と同一機能なので、1つ作れば両方カバーできる。</t>
  </si>
  <si>
    <t xml:space="preserve">写真の黒板を工事の流れや作業状況から自動作成する</t>
  </si>
  <si>
    <t xml:space="preserve">工程と写真の突き合わせ。ルールベース＋LLMで作れる。</t>
  </si>
  <si>
    <t xml:space="preserve">作れる
写真整理という明確な業務の置き換え。効果を時間で示しやすい。</t>
  </si>
  <si>
    <t xml:space="preserve">黒板の自動作成。削減時間を示しやすい。</t>
  </si>
  <si>
    <t xml:space="preserve">現場や事務からの課題を収集し、AIによる仕分けを行う</t>
  </si>
  <si>
    <t xml:space="preserve">「事務作業の工数」シートが出発点になる</t>
  </si>
  <si>
    <r>
      <rPr>
        <sz val="9"/>
        <rFont val="Noto Sans CJK JP"/>
        <family val="2"/>
        <charset val="1"/>
      </rPr>
      <t xml:space="preserve">テキスト分類。</t>
    </r>
    <r>
      <rPr>
        <sz val="9"/>
        <rFont val="游ゴシック"/>
        <family val="0"/>
        <charset val="1"/>
      </rPr>
      <t xml:space="preserve">12</t>
    </r>
    <r>
      <rPr>
        <sz val="9"/>
        <rFont val="Noto Sans CJK JP"/>
        <family val="2"/>
        <charset val="1"/>
      </rPr>
      <t xml:space="preserve">項目で最も簡単。現場から課題を出してもらえる前提なら、入力も回る。</t>
    </r>
  </si>
  <si>
    <t xml:space="preserve">作れる
「事務作業の工数」シートがそのまま入力データになる。</t>
  </si>
  <si>
    <t xml:space="preserve">課題の収集と仕分け。現場の協力があるので、収集の部分が実際に回る。</t>
  </si>
  <si>
    <t xml:space="preserve">点群データの自動処理アプリ</t>
  </si>
  <si>
    <t xml:space="preserve">試作あり（動作する実物・公開デモあり）</t>
  </si>
  <si>
    <t xml:space="preserve">あり（過去工事の点群・設計データ）</t>
  </si>
  <si>
    <t xml:space="preserve">変換から出来形の合否判定・帳票出力まで動作。国交省「3次元計測技術を用いた出来形管理要領（案）令和8年3月版」様式-31-2 に準拠。</t>
  </si>
  <si>
    <t xml:space="preserve">—（試作済み）</t>
  </si>
  <si>
    <t xml:space="preserve">ビューアは動作済み。懸賞に出すなら未解決の3点＝前処理の自動化・2次元図面からの3次元設計面生成・経年比較。</t>
  </si>
  <si>
    <t xml:space="preserve">既にある
動く実物と公開デモが既にある。技術の優位性を示しやすい。ただし国産基盤モデルへの貢献は弱いので、事務側の項目と組み合わせるのが良い。</t>
  </si>
  <si>
    <t xml:space="preserve">点群。動く実物と公開デモが既にある。</t>
  </si>
  <si>
    <t xml:space="preserve">注記</t>
  </si>
  <si>
    <r>
      <rPr>
        <b val="true"/>
        <sz val="9"/>
        <color rgb="FF555555"/>
        <rFont val="Noto Sans CJK JP"/>
        <family val="2"/>
        <charset val="1"/>
      </rPr>
      <t xml:space="preserve">【前提】（</t>
    </r>
    <r>
      <rPr>
        <b val="true"/>
        <sz val="9"/>
        <color rgb="FF555555"/>
        <rFont val="游ゴシック"/>
        <family val="0"/>
        <charset val="1"/>
      </rPr>
      <t xml:space="preserve">2026/9/24 </t>
    </r>
    <r>
      <rPr>
        <b val="true"/>
        <sz val="9"/>
        <color rgb="FF555555"/>
        <rFont val="Noto Sans CJK JP"/>
        <family val="2"/>
        <charset val="1"/>
      </rPr>
      <t xml:space="preserve">時点）</t>
    </r>
  </si>
  <si>
    <t xml:space="preserve">　・過去の工事データは葉月工業から提供いただける。</t>
  </si>
  <si>
    <t xml:space="preserve">　・現場の全面協力が得られる。実証やデータ入力に協力してもらえる。</t>
  </si>
  <si>
    <t xml:space="preserve">　　→ これは提案上の強みでもある。協力してくれる実証フィールドを持つ応募者は多くない。</t>
  </si>
  <si>
    <t xml:space="preserve">　　　審査観点「業務の再設計・導入効果」を実測で書ける。</t>
  </si>
  <si>
    <t xml:space="preserve">【技術的な難易度の見かた】</t>
  </si>
  <si>
    <t xml:space="preserve">　低 … 既存の技術で素直に作れる。　中 … 作れるが、何を出力とするかの詰めが要る。</t>
  </si>
  <si>
    <t xml:space="preserve">　高 … データをもらっても解けない。件数が足りないか、何を正解とするかが決められない。</t>
  </si>
  <si>
    <t xml:space="preserve">　前提の見直し … そのままでは実現できない。言葉の定義を変える必要がある。</t>
  </si>
  <si>
    <r>
      <rPr>
        <b val="true"/>
        <sz val="9"/>
        <color rgb="FF555555"/>
        <rFont val="Noto Sans CJK JP"/>
        <family val="2"/>
        <charset val="1"/>
      </rPr>
      <t xml:space="preserve">【</t>
    </r>
    <r>
      <rPr>
        <b val="true"/>
        <sz val="9"/>
        <color rgb="FF555555"/>
        <rFont val="游ゴシック"/>
        <family val="0"/>
        <charset val="1"/>
      </rPr>
      <t xml:space="preserve">NEDO</t>
    </r>
    <r>
      <rPr>
        <b val="true"/>
        <sz val="9"/>
        <color rgb="FF555555"/>
        <rFont val="Noto Sans CJK JP"/>
        <family val="2"/>
        <charset val="1"/>
      </rPr>
      <t xml:space="preserve">懸賞金活用型プログラム／</t>
    </r>
    <r>
      <rPr>
        <b val="true"/>
        <sz val="9"/>
        <color rgb="FF555555"/>
        <rFont val="游ゴシック"/>
        <family val="0"/>
        <charset val="1"/>
      </rPr>
      <t xml:space="preserve">GENIAC-PRIZE 2026</t>
    </r>
    <r>
      <rPr>
        <b val="true"/>
        <sz val="9"/>
        <color rgb="FF555555"/>
        <rFont val="Noto Sans CJK JP"/>
        <family val="2"/>
        <charset val="1"/>
      </rPr>
      <t xml:space="preserve">】</t>
    </r>
  </si>
  <si>
    <r>
      <rPr>
        <sz val="9"/>
        <color rgb="FF555555"/>
        <rFont val="Noto Sans CJK JP"/>
        <family val="2"/>
        <charset val="1"/>
      </rPr>
      <t xml:space="preserve">　</t>
    </r>
    <r>
      <rPr>
        <sz val="9"/>
        <color rgb="FF555555"/>
        <rFont val="游ゴシック"/>
        <family val="0"/>
        <charset val="1"/>
      </rPr>
      <t xml:space="preserve">https://www.nedo.go.jp/koubo/CD2_100446.html</t>
    </r>
    <r>
      <rPr>
        <sz val="9"/>
        <color rgb="FF555555"/>
        <rFont val="Noto Sans CJK JP"/>
        <family val="2"/>
        <charset val="1"/>
      </rPr>
      <t xml:space="preserve">　／　</t>
    </r>
    <r>
      <rPr>
        <sz val="9"/>
        <color rgb="FF555555"/>
        <rFont val="游ゴシック"/>
        <family val="0"/>
        <charset val="1"/>
      </rPr>
      <t xml:space="preserve">https://geniac-prize.nedo.go.jp/</t>
    </r>
  </si>
  <si>
    <r>
      <rPr>
        <sz val="9"/>
        <color rgb="FF555555"/>
        <rFont val="Noto Sans CJK JP"/>
        <family val="2"/>
        <charset val="1"/>
      </rPr>
      <t xml:space="preserve">　応募者は「課題を解く側」。</t>
    </r>
    <r>
      <rPr>
        <sz val="9"/>
        <color rgb="FF555555"/>
        <rFont val="游ゴシック"/>
        <family val="0"/>
        <charset val="1"/>
      </rPr>
      <t xml:space="preserve">NEDO </t>
    </r>
    <r>
      <rPr>
        <sz val="9"/>
        <color rgb="FF555555"/>
        <rFont val="Noto Sans CJK JP"/>
        <family val="2"/>
        <charset val="1"/>
      </rPr>
      <t xml:space="preserve">がテーマを出し、応募者が解決策を提案する。</t>
    </r>
  </si>
  <si>
    <r>
      <rPr>
        <sz val="9"/>
        <color rgb="FF555555"/>
        <rFont val="Noto Sans CJK JP"/>
        <family val="2"/>
        <charset val="1"/>
      </rPr>
      <t xml:space="preserve">　テーマ</t>
    </r>
    <r>
      <rPr>
        <sz val="9"/>
        <color rgb="FF555555"/>
        <rFont val="游ゴシック"/>
        <family val="0"/>
        <charset val="1"/>
      </rPr>
      <t xml:space="preserve">1</t>
    </r>
    <r>
      <rPr>
        <sz val="9"/>
        <color rgb="FF555555"/>
        <rFont val="Noto Sans CJK JP"/>
        <family val="2"/>
        <charset val="1"/>
      </rPr>
      <t xml:space="preserve">「エッセンシャルワーカーの人手不足解消に資する</t>
    </r>
    <r>
      <rPr>
        <sz val="9"/>
        <color rgb="FF555555"/>
        <rFont val="游ゴシック"/>
        <family val="0"/>
        <charset val="1"/>
      </rPr>
      <t xml:space="preserve">AI</t>
    </r>
    <r>
      <rPr>
        <sz val="9"/>
        <color rgb="FF555555"/>
        <rFont val="Noto Sans CJK JP"/>
        <family val="2"/>
        <charset val="1"/>
      </rPr>
      <t xml:space="preserve">を活用した業務プロセス改革」賞金</t>
    </r>
    <r>
      <rPr>
        <sz val="9"/>
        <color rgb="FF555555"/>
        <rFont val="游ゴシック"/>
        <family val="0"/>
        <charset val="1"/>
      </rPr>
      <t xml:space="preserve">6</t>
    </r>
    <r>
      <rPr>
        <sz val="9"/>
        <color rgb="FF555555"/>
        <rFont val="Noto Sans CJK JP"/>
        <family val="2"/>
        <charset val="1"/>
      </rPr>
      <t xml:space="preserve">億円。</t>
    </r>
  </si>
  <si>
    <t xml:space="preserve">　想定分野に国土交通が含まれており、建設業はテーマの中心に近い。</t>
  </si>
  <si>
    <r>
      <rPr>
        <sz val="9"/>
        <color rgb="FF555555"/>
        <rFont val="Noto Sans CJK JP"/>
        <family val="2"/>
        <charset val="1"/>
      </rPr>
      <t xml:space="preserve">　提出　</t>
    </r>
    <r>
      <rPr>
        <sz val="9"/>
        <color rgb="FF555555"/>
        <rFont val="游ゴシック"/>
        <family val="0"/>
        <charset val="1"/>
      </rPr>
      <t xml:space="preserve">9</t>
    </r>
    <r>
      <rPr>
        <sz val="9"/>
        <color rgb="FF555555"/>
        <rFont val="Noto Sans CJK JP"/>
        <family val="2"/>
        <charset val="1"/>
      </rPr>
      <t xml:space="preserve">月</t>
    </r>
    <r>
      <rPr>
        <sz val="9"/>
        <color rgb="FF555555"/>
        <rFont val="游ゴシック"/>
        <family val="0"/>
        <charset val="1"/>
      </rPr>
      <t xml:space="preserve">30</t>
    </r>
    <r>
      <rPr>
        <sz val="9"/>
        <color rgb="FF555555"/>
        <rFont val="Noto Sans CJK JP"/>
        <family val="2"/>
        <charset val="1"/>
      </rPr>
      <t xml:space="preserve">日</t>
    </r>
    <r>
      <rPr>
        <sz val="9"/>
        <color rgb="FF555555"/>
        <rFont val="游ゴシック"/>
        <family val="0"/>
        <charset val="1"/>
      </rPr>
      <t xml:space="preserve">(</t>
    </r>
    <r>
      <rPr>
        <sz val="9"/>
        <color rgb="FF555555"/>
        <rFont val="Noto Sans CJK JP"/>
        <family val="2"/>
        <charset val="1"/>
      </rPr>
      <t xml:space="preserve">水</t>
    </r>
    <r>
      <rPr>
        <sz val="9"/>
        <color rgb="FF555555"/>
        <rFont val="游ゴシック"/>
        <family val="0"/>
        <charset val="1"/>
      </rPr>
      <t xml:space="preserve">)12:00 </t>
    </r>
    <r>
      <rPr>
        <sz val="9"/>
        <color rgb="FF555555"/>
        <rFont val="Noto Sans CJK JP"/>
        <family val="2"/>
        <charset val="1"/>
      </rPr>
      <t xml:space="preserve">取組概要　／　</t>
    </r>
    <r>
      <rPr>
        <sz val="9"/>
        <color rgb="FF555555"/>
        <rFont val="游ゴシック"/>
        <family val="0"/>
        <charset val="1"/>
      </rPr>
      <t xml:space="preserve">11</t>
    </r>
    <r>
      <rPr>
        <sz val="9"/>
        <color rgb="FF555555"/>
        <rFont val="Noto Sans CJK JP"/>
        <family val="2"/>
        <charset val="1"/>
      </rPr>
      <t xml:space="preserve">月末 提案書＋デモ動画（</t>
    </r>
    <r>
      <rPr>
        <sz val="9"/>
        <color rgb="FF555555"/>
        <rFont val="游ゴシック"/>
        <family val="0"/>
        <charset val="1"/>
      </rPr>
      <t xml:space="preserve">3</t>
    </r>
    <r>
      <rPr>
        <sz val="9"/>
        <color rgb="FF555555"/>
        <rFont val="Noto Sans CJK JP"/>
        <family val="2"/>
        <charset val="1"/>
      </rPr>
      <t xml:space="preserve">分以内）</t>
    </r>
  </si>
  <si>
    <t xml:space="preserve">　審査　課題設定の妥当性／業務の再設計・導入効果／ユースケースの波及効果／技術の優位性／国産基盤モデル開発への貢献</t>
  </si>
  <si>
    <r>
      <rPr>
        <b val="true"/>
        <sz val="9"/>
        <color rgb="FF555555"/>
        <rFont val="Noto Sans CJK JP"/>
        <family val="2"/>
        <charset val="1"/>
      </rPr>
      <t xml:space="preserve">【「今後の扱い」の見かた】　</t>
    </r>
    <r>
      <rPr>
        <b val="true"/>
        <sz val="9"/>
        <color rgb="FF555555"/>
        <rFont val="游ゴシック"/>
        <family val="0"/>
        <charset val="1"/>
      </rPr>
      <t xml:space="preserve">GENIAC</t>
    </r>
    <r>
      <rPr>
        <b val="true"/>
        <sz val="9"/>
        <color rgb="FF555555"/>
        <rFont val="Noto Sans CJK JP"/>
        <family val="2"/>
        <charset val="1"/>
      </rPr>
      <t xml:space="preserve">に出さない ＝ 開発しない、ではない。</t>
    </r>
  </si>
  <si>
    <r>
      <rPr>
        <sz val="9"/>
        <color rgb="FF555555"/>
        <rFont val="Noto Sans CJK JP"/>
        <family val="2"/>
        <charset val="1"/>
      </rPr>
      <t xml:space="preserve">　</t>
    </r>
    <r>
      <rPr>
        <sz val="9"/>
        <color rgb="FF555555"/>
        <rFont val="游ゴシック"/>
        <family val="0"/>
        <charset val="1"/>
      </rPr>
      <t xml:space="preserve">GENIAC</t>
    </r>
    <r>
      <rPr>
        <sz val="9"/>
        <color rgb="FF555555"/>
        <rFont val="Noto Sans CJK JP"/>
        <family val="2"/>
        <charset val="1"/>
      </rPr>
      <t xml:space="preserve">に出す（</t>
    </r>
    <r>
      <rPr>
        <sz val="9"/>
        <color rgb="FF555555"/>
        <rFont val="游ゴシック"/>
        <family val="0"/>
        <charset val="1"/>
      </rPr>
      <t xml:space="preserve">7</t>
    </r>
    <r>
      <rPr>
        <sz val="9"/>
        <color rgb="FF555555"/>
        <rFont val="Noto Sans CJK JP"/>
        <family val="2"/>
        <charset val="1"/>
      </rPr>
      <t xml:space="preserve">項目：</t>
    </r>
    <r>
      <rPr>
        <sz val="9"/>
        <color rgb="FF555555"/>
        <rFont val="游ゴシック"/>
        <family val="0"/>
        <charset val="1"/>
      </rPr>
      <t xml:space="preserve">1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2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6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7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10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11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12</t>
    </r>
    <r>
      <rPr>
        <sz val="9"/>
        <color rgb="FF555555"/>
        <rFont val="Noto Sans CJK JP"/>
        <family val="2"/>
        <charset val="1"/>
      </rPr>
      <t xml:space="preserve">）</t>
    </r>
  </si>
  <si>
    <r>
      <rPr>
        <sz val="9"/>
        <color rgb="FF555555"/>
        <rFont val="Noto Sans CJK JP"/>
        <family val="2"/>
        <charset val="1"/>
      </rPr>
      <t xml:space="preserve">　　</t>
    </r>
    <r>
      <rPr>
        <sz val="9"/>
        <color rgb="FF555555"/>
        <rFont val="游ゴシック"/>
        <family val="0"/>
        <charset val="1"/>
      </rPr>
      <t xml:space="preserve">11</t>
    </r>
    <r>
      <rPr>
        <sz val="9"/>
        <color rgb="FF555555"/>
        <rFont val="Noto Sans CJK JP"/>
        <family val="2"/>
        <charset val="1"/>
      </rPr>
      <t xml:space="preserve">月末にデモ動画を作れて、テーマにも合う。</t>
    </r>
  </si>
  <si>
    <r>
      <rPr>
        <sz val="9"/>
        <color rgb="FF555555"/>
        <rFont val="Noto Sans CJK JP"/>
        <family val="2"/>
        <charset val="1"/>
      </rPr>
      <t xml:space="preserve">　開発する（</t>
    </r>
    <r>
      <rPr>
        <sz val="9"/>
        <color rgb="FF555555"/>
        <rFont val="游ゴシック"/>
        <family val="0"/>
        <charset val="1"/>
      </rPr>
      <t xml:space="preserve">3</t>
    </r>
    <r>
      <rPr>
        <sz val="9"/>
        <color rgb="FF555555"/>
        <rFont val="Noto Sans CJK JP"/>
        <family val="2"/>
        <charset val="1"/>
      </rPr>
      <t xml:space="preserve">項目：</t>
    </r>
    <r>
      <rPr>
        <sz val="9"/>
        <color rgb="FF555555"/>
        <rFont val="游ゴシック"/>
        <family val="0"/>
        <charset val="1"/>
      </rPr>
      <t xml:space="preserve">4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8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9</t>
    </r>
    <r>
      <rPr>
        <sz val="9"/>
        <color rgb="FF555555"/>
        <rFont val="Noto Sans CJK JP"/>
        <family val="2"/>
        <charset val="1"/>
      </rPr>
      <t xml:space="preserve">）</t>
    </r>
  </si>
  <si>
    <r>
      <rPr>
        <sz val="9"/>
        <color rgb="FF555555"/>
        <rFont val="Noto Sans CJK JP"/>
        <family val="2"/>
        <charset val="1"/>
      </rPr>
      <t xml:space="preserve">　　</t>
    </r>
    <r>
      <rPr>
        <sz val="9"/>
        <color rgb="FF555555"/>
        <rFont val="游ゴシック"/>
        <family val="0"/>
        <charset val="1"/>
      </rPr>
      <t xml:space="preserve">GENIAC </t>
    </r>
    <r>
      <rPr>
        <sz val="9"/>
        <color rgb="FF555555"/>
        <rFont val="Noto Sans CJK JP"/>
        <family val="2"/>
        <charset val="1"/>
      </rPr>
      <t xml:space="preserve">には出さないが自社で作る。この</t>
    </r>
    <r>
      <rPr>
        <sz val="9"/>
        <color rgb="FF555555"/>
        <rFont val="游ゴシック"/>
        <family val="0"/>
        <charset val="1"/>
      </rPr>
      <t xml:space="preserve">3</t>
    </r>
    <r>
      <rPr>
        <sz val="9"/>
        <color rgb="FF555555"/>
        <rFont val="Noto Sans CJK JP"/>
        <family val="2"/>
        <charset val="1"/>
      </rPr>
      <t xml:space="preserve">つは「過去工事を検索して、似た工事の実績</t>
    </r>
  </si>
  <si>
    <r>
      <rPr>
        <sz val="9"/>
        <color rgb="FF555555"/>
        <rFont val="Noto Sans CJK JP"/>
        <family val="2"/>
        <charset val="1"/>
      </rPr>
      <t xml:space="preserve">　　（予算・工期・人員・重機・創意工夫）を並べて見せる」という </t>
    </r>
    <r>
      <rPr>
        <sz val="9"/>
        <color rgb="FF555555"/>
        <rFont val="游ゴシック"/>
        <family val="0"/>
        <charset val="1"/>
      </rPr>
      <t xml:space="preserve">1 </t>
    </r>
    <r>
      <rPr>
        <sz val="9"/>
        <color rgb="FF555555"/>
        <rFont val="Noto Sans CJK JP"/>
        <family val="2"/>
        <charset val="1"/>
      </rPr>
      <t xml:space="preserve">つの基盤で全部満たせる。</t>
    </r>
  </si>
  <si>
    <r>
      <rPr>
        <sz val="9"/>
        <color rgb="FF555555"/>
        <rFont val="Noto Sans CJK JP"/>
        <family val="2"/>
        <charset val="1"/>
      </rPr>
      <t xml:space="preserve">　　「予測」と言うと機械学習が要り </t>
    </r>
    <r>
      <rPr>
        <sz val="9"/>
        <color rgb="FF555555"/>
        <rFont val="游ゴシック"/>
        <family val="0"/>
        <charset val="1"/>
      </rPr>
      <t xml:space="preserve">322</t>
    </r>
    <r>
      <rPr>
        <sz val="9"/>
        <color rgb="FF555555"/>
        <rFont val="Noto Sans CJK JP"/>
        <family val="2"/>
        <charset val="1"/>
      </rPr>
      <t xml:space="preserve">件では精度が出ないが、「参照」なら検索で済み今すぐ作れる。</t>
    </r>
  </si>
  <si>
    <r>
      <rPr>
        <sz val="9"/>
        <color rgb="FF555555"/>
        <rFont val="Noto Sans CJK JP"/>
        <family val="2"/>
        <charset val="1"/>
      </rPr>
      <t xml:space="preserve">　県の実証事業（</t>
    </r>
    <r>
      <rPr>
        <sz val="9"/>
        <color rgb="FF555555"/>
        <rFont val="游ゴシック"/>
        <family val="0"/>
        <charset val="1"/>
      </rPr>
      <t xml:space="preserve">2</t>
    </r>
    <r>
      <rPr>
        <sz val="9"/>
        <color rgb="FF555555"/>
        <rFont val="Noto Sans CJK JP"/>
        <family val="2"/>
        <charset val="1"/>
      </rPr>
      <t xml:space="preserve">項目：</t>
    </r>
    <r>
      <rPr>
        <sz val="9"/>
        <color rgb="FF555555"/>
        <rFont val="游ゴシック"/>
        <family val="0"/>
        <charset val="1"/>
      </rPr>
      <t xml:space="preserve">3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5</t>
    </r>
    <r>
      <rPr>
        <sz val="9"/>
        <color rgb="FF555555"/>
        <rFont val="Noto Sans CJK JP"/>
        <family val="2"/>
        <charset val="1"/>
      </rPr>
      <t xml:space="preserve">）</t>
    </r>
  </si>
  <si>
    <r>
      <rPr>
        <sz val="9"/>
        <color rgb="FF555555"/>
        <rFont val="Noto Sans CJK JP"/>
        <family val="2"/>
        <charset val="1"/>
      </rPr>
      <t xml:space="preserve">　　採択済みの衛星データ実証事業の側で扱う。</t>
    </r>
    <r>
      <rPr>
        <sz val="9"/>
        <color rgb="FF555555"/>
        <rFont val="游ゴシック"/>
        <family val="0"/>
        <charset val="1"/>
      </rPr>
      <t xml:space="preserve">GENIAC </t>
    </r>
    <r>
      <rPr>
        <sz val="9"/>
        <color rgb="FF555555"/>
        <rFont val="Noto Sans CJK JP"/>
        <family val="2"/>
        <charset val="1"/>
      </rPr>
      <t xml:space="preserve">と二重に出さない。</t>
    </r>
  </si>
  <si>
    <t xml:space="preserve">【設計上の注意】</t>
  </si>
  <si>
    <r>
      <rPr>
        <sz val="9"/>
        <color rgb="FF555555"/>
        <rFont val="Noto Sans CJK JP"/>
        <family val="2"/>
        <charset val="1"/>
      </rPr>
      <t xml:space="preserve">　</t>
    </r>
    <r>
      <rPr>
        <sz val="9"/>
        <color rgb="FF555555"/>
        <rFont val="游ゴシック"/>
        <family val="0"/>
        <charset val="1"/>
      </rPr>
      <t xml:space="preserve">No.7</t>
    </r>
    <r>
      <rPr>
        <sz val="9"/>
        <color rgb="FF555555"/>
        <rFont val="Noto Sans CJK JP"/>
        <family val="2"/>
        <charset val="1"/>
      </rPr>
      <t xml:space="preserve">（原価管理）… 現場の協力があっても、</t>
    </r>
    <r>
      <rPr>
        <sz val="9"/>
        <color rgb="FF555555"/>
        <rFont val="游ゴシック"/>
        <family val="0"/>
        <charset val="1"/>
      </rPr>
      <t xml:space="preserve">1</t>
    </r>
    <r>
      <rPr>
        <sz val="9"/>
        <color rgb="FF555555"/>
        <rFont val="Noto Sans CJK JP"/>
        <family val="2"/>
        <charset val="1"/>
      </rPr>
      <t xml:space="preserve">日に何度も手入力させる作りにすると続かない。</t>
    </r>
  </si>
  <si>
    <t xml:space="preserve">　　協力の意思と作業の手間は別。写真・日報・位置情報など既に発生しているものから自動で拾い、</t>
  </si>
  <si>
    <t xml:space="preserve">　　人が打つ項目を最小限にすること。</t>
  </si>
  <si>
    <t xml:space="preserve">【審査観点との対応で足りないもの】</t>
  </si>
  <si>
    <t xml:space="preserve">　「業務の再設計・導入効果」… 「事務作業の工数」シートが埋まれば、削減時間を数字で書ける。最優先。</t>
  </si>
  <si>
    <r>
      <rPr>
        <sz val="9"/>
        <color rgb="FF555555"/>
        <rFont val="Noto Sans CJK JP"/>
        <family val="2"/>
        <charset val="1"/>
      </rPr>
      <t xml:space="preserve">　「国産基盤モデル開発への貢献」… </t>
    </r>
    <r>
      <rPr>
        <sz val="9"/>
        <color rgb="FF555555"/>
        <rFont val="游ゴシック"/>
        <family val="0"/>
        <charset val="1"/>
      </rPr>
      <t xml:space="preserve">No.12</t>
    </r>
    <r>
      <rPr>
        <sz val="9"/>
        <color rgb="FF555555"/>
        <rFont val="Noto Sans CJK JP"/>
        <family val="2"/>
        <charset val="1"/>
      </rPr>
      <t xml:space="preserve">（点群）単体では弱い。書類作成（</t>
    </r>
    <r>
      <rPr>
        <sz val="9"/>
        <color rgb="FF555555"/>
        <rFont val="游ゴシック"/>
        <family val="0"/>
        <charset val="1"/>
      </rPr>
      <t xml:space="preserve">No.2</t>
    </r>
    <r>
      <rPr>
        <sz val="9"/>
        <color rgb="FF555555"/>
        <rFont val="Noto Sans CJK JP"/>
        <family val="2"/>
        <charset val="1"/>
      </rPr>
      <t xml:space="preserve">・</t>
    </r>
    <r>
      <rPr>
        <sz val="9"/>
        <color rgb="FF555555"/>
        <rFont val="游ゴシック"/>
        <family val="0"/>
        <charset val="1"/>
      </rPr>
      <t xml:space="preserve">6</t>
    </r>
    <r>
      <rPr>
        <sz val="9"/>
        <color rgb="FF555555"/>
        <rFont val="Noto Sans CJK JP"/>
        <family val="2"/>
        <charset val="1"/>
      </rPr>
      <t xml:space="preserve">）と組み合わせる。</t>
    </r>
  </si>
  <si>
    <t xml:space="preserve">　「ユースケースの波及効果」… 法面工事と自治体の点群閲覧は全国共通の課題。長崎県・和歌山県の先行例が使える。</t>
  </si>
  <si>
    <r>
      <rPr>
        <sz val="9"/>
        <color rgb="FF555555"/>
        <rFont val="Noto Sans CJK JP"/>
        <family val="2"/>
        <charset val="1"/>
      </rPr>
      <t xml:space="preserve">　※ </t>
    </r>
    <r>
      <rPr>
        <sz val="9"/>
        <color rgb="FF555555"/>
        <rFont val="游ゴシック"/>
        <family val="0"/>
        <charset val="1"/>
      </rPr>
      <t xml:space="preserve">2026</t>
    </r>
    <r>
      <rPr>
        <sz val="9"/>
        <color rgb="FF555555"/>
        <rFont val="Noto Sans CJK JP"/>
        <family val="2"/>
        <charset val="1"/>
      </rPr>
      <t xml:space="preserve">年</t>
    </r>
    <r>
      <rPr>
        <sz val="9"/>
        <color rgb="FF555555"/>
        <rFont val="游ゴシック"/>
        <family val="0"/>
        <charset val="1"/>
      </rPr>
      <t xml:space="preserve">9</t>
    </r>
    <r>
      <rPr>
        <sz val="9"/>
        <color rgb="FF555555"/>
        <rFont val="Noto Sans CJK JP"/>
        <family val="2"/>
        <charset val="1"/>
      </rPr>
      <t xml:space="preserve">月</t>
    </r>
    <r>
      <rPr>
        <sz val="9"/>
        <color rgb="FF555555"/>
        <rFont val="游ゴシック"/>
        <family val="0"/>
        <charset val="1"/>
      </rPr>
      <t xml:space="preserve">24</t>
    </r>
    <r>
      <rPr>
        <sz val="9"/>
        <color rgb="FF555555"/>
        <rFont val="Noto Sans CJK JP"/>
        <family val="2"/>
        <charset val="1"/>
      </rPr>
      <t xml:space="preserve">日時点。効果・実現性の評価は業務実態をご存知の方にお願いしています。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</si>
</sst>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29">
    <font>
      <sz val="11"/>
      <color theme="1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游ゴシック"/>
      <family val="2"/>
      <charset val="128"/>
    </font>
    <font>
      <b val="true"/>
      <sz val="14"/>
      <name val="Noto Sans CJK JP"/>
      <family val="2"/>
      <charset val="1"/>
    </font>
    <font>
      <sz val="10"/>
      <color rgb="FF555555"/>
      <name val="游ゴシック"/>
      <family val="0"/>
      <charset val="1"/>
    </font>
    <font>
      <sz val="10"/>
      <color rgb="FF555555"/>
      <name val="Noto Sans CJK JP"/>
      <family val="2"/>
      <charset val="1"/>
    </font>
    <font>
      <sz val="10"/>
      <color rgb="FF996600"/>
      <name val="Noto Sans CJK JP"/>
      <family val="2"/>
      <charset val="1"/>
    </font>
    <font>
      <b val="true"/>
      <sz val="10"/>
      <name val="Noto Sans CJK JP"/>
      <family val="2"/>
      <charset val="1"/>
    </font>
    <font>
      <b val="true"/>
      <sz val="10"/>
      <name val="游ゴシック"/>
      <family val="0"/>
      <charset val="1"/>
    </font>
    <font>
      <i val="true"/>
      <sz val="10"/>
      <color rgb="FF5A7A5A"/>
      <name val="Noto Sans CJK JP"/>
      <family val="2"/>
      <charset val="1"/>
    </font>
    <font>
      <i val="true"/>
      <sz val="10"/>
      <color rgb="FF5A7A5A"/>
      <name val="游ゴシック"/>
      <family val="0"/>
      <charset val="1"/>
    </font>
    <font>
      <sz val="10"/>
      <name val="Noto Sans CJK JP"/>
      <family val="2"/>
      <charset val="1"/>
    </font>
    <font>
      <sz val="10"/>
      <name val="游ゴシック"/>
      <family val="0"/>
      <charset val="1"/>
    </font>
    <font>
      <sz val="10"/>
      <color rgb="FF0000FF"/>
      <name val="Noto Sans CJK JP"/>
      <family val="2"/>
      <charset val="1"/>
    </font>
    <font>
      <b val="true"/>
      <sz val="11"/>
      <name val="Noto Sans CJK JP"/>
      <family val="2"/>
      <charset val="1"/>
    </font>
    <font>
      <b val="true"/>
      <sz val="11"/>
      <name val="游ゴシック"/>
      <family val="0"/>
      <charset val="1"/>
    </font>
    <font>
      <sz val="9"/>
      <color rgb="FF777777"/>
      <name val="Noto Sans CJK JP"/>
      <family val="2"/>
      <charset val="1"/>
    </font>
    <font>
      <b val="true"/>
      <sz val="14"/>
      <name val="游ゴシック"/>
      <family val="0"/>
      <charset val="1"/>
    </font>
    <font>
      <i val="true"/>
      <sz val="9"/>
      <color rgb="FF5A7A5A"/>
      <name val="Noto Sans CJK JP"/>
      <family val="2"/>
      <charset val="1"/>
    </font>
    <font>
      <sz val="9"/>
      <name val="Noto Sans CJK JP"/>
      <family val="2"/>
      <charset val="1"/>
    </font>
    <font>
      <b val="true"/>
      <sz val="12"/>
      <name val="Noto Sans CJK JP"/>
      <family val="2"/>
      <charset val="1"/>
    </font>
    <font>
      <b val="true"/>
      <sz val="12"/>
      <name val="游ゴシック"/>
      <family val="0"/>
      <charset val="1"/>
    </font>
    <font>
      <sz val="9"/>
      <name val="游ゴシック"/>
      <family val="0"/>
      <charset val="1"/>
    </font>
    <font>
      <sz val="9"/>
      <color rgb="FF555555"/>
      <name val="Noto Sans CJK JP"/>
      <family val="2"/>
      <charset val="1"/>
    </font>
    <font>
      <b val="true"/>
      <sz val="9"/>
      <color rgb="FF555555"/>
      <name val="Noto Sans CJK JP"/>
      <family val="2"/>
      <charset val="1"/>
    </font>
    <font>
      <b val="true"/>
      <sz val="9"/>
      <color rgb="FF555555"/>
      <name val="游ゴシック"/>
      <family val="0"/>
      <charset val="1"/>
    </font>
    <font>
      <sz val="9"/>
      <color rgb="FF555555"/>
      <name val="游ゴシック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CE6EF"/>
        <bgColor rgb="FFD9EFE3"/>
      </patternFill>
    </fill>
    <fill>
      <patternFill patternType="solid">
        <fgColor rgb="FFF2F7F2"/>
        <bgColor rgb="FFEAF3EC"/>
      </patternFill>
    </fill>
    <fill>
      <patternFill patternType="solid">
        <fgColor rgb="FFFFF9D6"/>
        <bgColor rgb="FFFFF4E0"/>
      </patternFill>
    </fill>
    <fill>
      <patternFill patternType="solid">
        <fgColor rgb="FFEFEFEF"/>
        <bgColor rgb="FFF0EFEF"/>
      </patternFill>
    </fill>
    <fill>
      <patternFill patternType="solid">
        <fgColor rgb="FFE2F1E9"/>
        <bgColor rgb="FFEAF3EC"/>
      </patternFill>
    </fill>
    <fill>
      <patternFill patternType="solid">
        <fgColor rgb="FFEAF3EC"/>
        <bgColor rgb="FFEFEFEF"/>
      </patternFill>
    </fill>
    <fill>
      <patternFill patternType="solid">
        <fgColor rgb="FFD9EFE3"/>
        <bgColor rgb="FFE2F1E9"/>
      </patternFill>
    </fill>
    <fill>
      <patternFill patternType="solid">
        <fgColor rgb="FFFFF4E0"/>
        <bgColor rgb="FFFFF9D6"/>
      </patternFill>
    </fill>
    <fill>
      <patternFill patternType="solid">
        <fgColor rgb="FFF0E6F5"/>
        <bgColor rgb="FFF0EFEF"/>
      </patternFill>
    </fill>
    <fill>
      <patternFill patternType="solid">
        <fgColor rgb="FFFCE9E7"/>
        <bgColor rgb="FFF0E6F5"/>
      </patternFill>
    </fill>
    <fill>
      <patternFill patternType="solid">
        <fgColor rgb="FFF0EFEF"/>
        <bgColor rgb="FFEFEFEF"/>
      </patternFill>
    </fill>
    <fill>
      <patternFill patternType="solid">
        <fgColor rgb="FFE8F0FA"/>
        <bgColor rgb="FFEAF3E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B7C0C6"/>
      </left>
      <right style="thin">
        <color rgb="FFB7C0C6"/>
      </right>
      <top style="thin">
        <color rgb="FFB7C0C6"/>
      </top>
      <bottom style="thin">
        <color rgb="FFB7C0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7F2"/>
      <rgbColor rgb="FFFF0000"/>
      <rgbColor rgb="FF00FF00"/>
      <rgbColor rgb="FF0000FF"/>
      <rgbColor rgb="FFEAF3EC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B7C0C6"/>
      <rgbColor rgb="FF777777"/>
      <rgbColor rgb="FF9999FF"/>
      <rgbColor rgb="FF993366"/>
      <rgbColor rgb="FFFFF9D6"/>
      <rgbColor rgb="FFE2F1E9"/>
      <rgbColor rgb="FF660066"/>
      <rgbColor rgb="FFFF8080"/>
      <rgbColor rgb="FF0066CC"/>
      <rgbColor rgb="FFDCE6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A"/>
      <rgbColor rgb="FFD9EFE3"/>
      <rgbColor rgb="FFFFF4E0"/>
      <rgbColor rgb="FFF0E6F5"/>
      <rgbColor rgb="FFF0EFEF"/>
      <rgbColor rgb="FFEFEFEF"/>
      <rgbColor rgb="FFFCE9E7"/>
      <rgbColor rgb="FF3366FF"/>
      <rgbColor rgb="FF33CCCC"/>
      <rgbColor rgb="FF99CC00"/>
      <rgbColor rgb="FFFFCC00"/>
      <rgbColor rgb="FFFF9900"/>
      <rgbColor rgb="FFFF6600"/>
      <rgbColor rgb="FF5A7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87890625" defaultRowHeight="18" zeroHeight="false" outlineLevelRow="0" outlineLevelCol="0"/>
  <sheetData>
    <row r="1" customFormat="false" ht="18" hidden="false" customHeight="true" outlineLevel="0" collapsed="false">
      <c r="A1" s="1" t="s">
        <v>0</v>
      </c>
    </row>
    <row r="3" customFormat="false" ht="18" hidden="false" customHeight="true" outlineLevel="0" collapsed="false">
      <c r="A3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5" activeCellId="0" sqref="A15"/>
    </sheetView>
  </sheetViews>
  <sheetFormatPr defaultColWidth="8.87890625" defaultRowHeight="18" zeroHeight="false" outlineLevelRow="0" outlineLevelCol="0"/>
  <sheetData>
    <row r="1" customFormat="false" ht="16.5" hidden="false" customHeight="true" outlineLevel="0" collapsed="false">
      <c r="A1" s="2" t="s">
        <v>2</v>
      </c>
    </row>
    <row r="3" customFormat="false" ht="16.5" hidden="false" customHeight="true" outlineLevel="0" collapsed="false">
      <c r="A3" s="2" t="s">
        <v>3</v>
      </c>
    </row>
    <row r="4" customFormat="false" ht="16.5" hidden="false" customHeight="true" outlineLevel="0" collapsed="false">
      <c r="A4" s="2" t="s">
        <v>4</v>
      </c>
    </row>
    <row r="5" customFormat="false" ht="16.5" hidden="false" customHeight="true" outlineLevel="0" collapsed="false">
      <c r="A5" s="2" t="s">
        <v>5</v>
      </c>
    </row>
    <row r="6" customFormat="false" ht="16.5" hidden="false" customHeight="true" outlineLevel="0" collapsed="false">
      <c r="A6" s="2" t="s">
        <v>6</v>
      </c>
    </row>
    <row r="7" customFormat="false" ht="16.5" hidden="false" customHeight="true" outlineLevel="0" collapsed="false">
      <c r="A7" s="2" t="s">
        <v>7</v>
      </c>
    </row>
    <row r="8" customFormat="false" ht="16.5" hidden="false" customHeight="true" outlineLevel="0" collapsed="false">
      <c r="A8" s="2" t="s">
        <v>8</v>
      </c>
    </row>
    <row r="9" customFormat="false" ht="16.5" hidden="false" customHeight="true" outlineLevel="0" collapsed="false">
      <c r="A9" s="2" t="s">
        <v>9</v>
      </c>
    </row>
    <row r="10" customFormat="false" ht="16.5" hidden="false" customHeight="true" outlineLevel="0" collapsed="false">
      <c r="A10" s="2" t="s">
        <v>10</v>
      </c>
    </row>
    <row r="11" customFormat="false" ht="16.5" hidden="false" customHeight="true" outlineLevel="0" collapsed="false">
      <c r="A11" s="2" t="s">
        <v>11</v>
      </c>
    </row>
    <row r="12" customFormat="false" ht="16.5" hidden="false" customHeight="true" outlineLevel="0" collapsed="false">
      <c r="A12" s="2" t="s">
        <v>12</v>
      </c>
    </row>
    <row r="13" customFormat="false" ht="16.5" hidden="false" customHeight="true" outlineLevel="0" collapsed="false">
      <c r="A13" s="2" t="s">
        <v>13</v>
      </c>
    </row>
    <row r="14" customFormat="false" ht="16.5" hidden="false" customHeight="true" outlineLevel="0" collapsed="false">
      <c r="A14" s="2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B23" activeCellId="0" sqref="B23"/>
    </sheetView>
  </sheetViews>
  <sheetFormatPr defaultColWidth="8.87890625" defaultRowHeight="18" zeroHeight="false" outlineLevelRow="0" outlineLevelCol="0"/>
  <cols>
    <col collapsed="false" customWidth="true" hidden="false" outlineLevel="0" max="1" min="1" style="3" width="16.92"/>
    <col collapsed="false" customWidth="true" hidden="false" outlineLevel="0" max="2" min="2" style="3" width="35.53"/>
    <col collapsed="false" customWidth="true" hidden="false" outlineLevel="0" max="3" min="3" style="3" width="47.71"/>
  </cols>
  <sheetData>
    <row r="1" customFormat="false" ht="18" hidden="false" customHeight="true" outlineLevel="0" collapsed="false">
      <c r="A1" s="2" t="s">
        <v>2</v>
      </c>
    </row>
    <row r="3" customFormat="false" ht="18" hidden="false" customHeight="true" outlineLevel="0" collapsed="false">
      <c r="A3" s="4" t="s">
        <v>15</v>
      </c>
      <c r="B3" s="5" t="s">
        <v>16</v>
      </c>
      <c r="C3" s="6" t="s">
        <v>17</v>
      </c>
    </row>
    <row r="4" customFormat="false" ht="18" hidden="false" customHeight="true" outlineLevel="0" collapsed="false">
      <c r="A4" s="7"/>
      <c r="B4" s="2" t="s">
        <v>18</v>
      </c>
      <c r="C4" s="8" t="s">
        <v>17</v>
      </c>
    </row>
    <row r="5" customFormat="false" ht="18" hidden="false" customHeight="true" outlineLevel="0" collapsed="false">
      <c r="A5" s="7"/>
      <c r="B5" s="2" t="s">
        <v>19</v>
      </c>
      <c r="C5" s="8" t="s">
        <v>17</v>
      </c>
    </row>
    <row r="6" customFormat="false" ht="18" hidden="false" customHeight="true" outlineLevel="0" collapsed="false">
      <c r="A6" s="7"/>
      <c r="B6" s="2" t="s">
        <v>20</v>
      </c>
      <c r="C6" s="8" t="s">
        <v>17</v>
      </c>
    </row>
    <row r="7" customFormat="false" ht="18" hidden="false" customHeight="true" outlineLevel="0" collapsed="false">
      <c r="A7" s="7"/>
      <c r="B7" s="2" t="s">
        <v>21</v>
      </c>
      <c r="C7" s="8" t="s">
        <v>17</v>
      </c>
    </row>
    <row r="8" customFormat="false" ht="18" hidden="false" customHeight="true" outlineLevel="0" collapsed="false">
      <c r="A8" s="7"/>
      <c r="B8" s="2" t="s">
        <v>22</v>
      </c>
      <c r="C8" s="8" t="s">
        <v>23</v>
      </c>
    </row>
    <row r="9" customFormat="false" ht="18" hidden="false" customHeight="true" outlineLevel="0" collapsed="false">
      <c r="A9" s="7"/>
      <c r="B9" s="2" t="s">
        <v>24</v>
      </c>
      <c r="C9" s="8" t="s">
        <v>17</v>
      </c>
    </row>
    <row r="10" customFormat="false" ht="18" hidden="false" customHeight="true" outlineLevel="0" collapsed="false">
      <c r="A10" s="7"/>
      <c r="B10" s="2" t="s">
        <v>25</v>
      </c>
      <c r="C10" s="8" t="s">
        <v>17</v>
      </c>
    </row>
    <row r="11" customFormat="false" ht="18" hidden="false" customHeight="true" outlineLevel="0" collapsed="false">
      <c r="A11" s="7"/>
      <c r="B11" s="2" t="s">
        <v>26</v>
      </c>
      <c r="C11" s="8" t="s">
        <v>17</v>
      </c>
    </row>
    <row r="12" customFormat="false" ht="18" hidden="false" customHeight="true" outlineLevel="0" collapsed="false">
      <c r="A12" s="7"/>
      <c r="B12" s="2" t="s">
        <v>27</v>
      </c>
      <c r="C12" s="8" t="s">
        <v>28</v>
      </c>
    </row>
    <row r="13" customFormat="false" ht="18" hidden="false" customHeight="true" outlineLevel="0" collapsed="false">
      <c r="A13" s="7"/>
      <c r="B13" s="2" t="s">
        <v>29</v>
      </c>
      <c r="C13" s="8" t="s">
        <v>17</v>
      </c>
    </row>
    <row r="14" customFormat="false" ht="18" hidden="false" customHeight="true" outlineLevel="0" collapsed="false">
      <c r="A14" s="7"/>
      <c r="B14" s="2" t="s">
        <v>30</v>
      </c>
      <c r="C14" s="8" t="s">
        <v>17</v>
      </c>
    </row>
    <row r="15" customFormat="false" ht="18" hidden="false" customHeight="true" outlineLevel="0" collapsed="false">
      <c r="A15" s="7"/>
      <c r="B15" s="2" t="s">
        <v>31</v>
      </c>
      <c r="C15" s="8" t="s">
        <v>32</v>
      </c>
    </row>
    <row r="16" customFormat="false" ht="18" hidden="false" customHeight="true" outlineLevel="0" collapsed="false">
      <c r="A16" s="4" t="s">
        <v>33</v>
      </c>
      <c r="B16" s="5" t="s">
        <v>34</v>
      </c>
      <c r="C16" s="6"/>
    </row>
    <row r="17" customFormat="false" ht="18" hidden="false" customHeight="true" outlineLevel="0" collapsed="false">
      <c r="A17" s="7"/>
      <c r="B17" s="2" t="s">
        <v>35</v>
      </c>
      <c r="C17" s="8"/>
    </row>
    <row r="18" customFormat="false" ht="18" hidden="false" customHeight="true" outlineLevel="0" collapsed="false">
      <c r="A18" s="7"/>
      <c r="B18" s="2" t="s">
        <v>36</v>
      </c>
      <c r="C18" s="8" t="s">
        <v>37</v>
      </c>
    </row>
    <row r="19" customFormat="false" ht="18" hidden="false" customHeight="true" outlineLevel="0" collapsed="false">
      <c r="A19" s="7"/>
      <c r="B19" s="2" t="s">
        <v>38</v>
      </c>
      <c r="C19" s="8" t="s">
        <v>39</v>
      </c>
    </row>
    <row r="20" customFormat="false" ht="18" hidden="false" customHeight="true" outlineLevel="0" collapsed="false">
      <c r="A20" s="9"/>
      <c r="B20" s="10" t="s">
        <v>40</v>
      </c>
      <c r="C20" s="11" t="s">
        <v>41</v>
      </c>
    </row>
    <row r="21" customFormat="false" ht="18" hidden="false" customHeight="true" outlineLevel="0" collapsed="false">
      <c r="A21" s="7" t="s">
        <v>42</v>
      </c>
      <c r="B21" s="2" t="s">
        <v>43</v>
      </c>
      <c r="C21" s="8"/>
    </row>
    <row r="22" customFormat="false" ht="18" hidden="false" customHeight="true" outlineLevel="0" collapsed="false">
      <c r="A22" s="7"/>
      <c r="B22" s="2" t="s">
        <v>44</v>
      </c>
      <c r="C22" s="8" t="s">
        <v>45</v>
      </c>
    </row>
    <row r="23" customFormat="false" ht="18" hidden="false" customHeight="true" outlineLevel="0" collapsed="false">
      <c r="A23" s="7"/>
      <c r="B23" s="2" t="s">
        <v>46</v>
      </c>
      <c r="C23" s="8" t="s">
        <v>47</v>
      </c>
    </row>
    <row r="24" customFormat="false" ht="18" hidden="false" customHeight="true" outlineLevel="0" collapsed="false">
      <c r="A24" s="7"/>
      <c r="B24" s="2" t="s">
        <v>48</v>
      </c>
      <c r="C24" s="8" t="s">
        <v>49</v>
      </c>
    </row>
    <row r="25" customFormat="false" ht="18" hidden="false" customHeight="true" outlineLevel="0" collapsed="false">
      <c r="A25" s="7"/>
      <c r="B25" s="2" t="s">
        <v>50</v>
      </c>
      <c r="C25" s="8" t="s">
        <v>49</v>
      </c>
    </row>
    <row r="26" customFormat="false" ht="18" hidden="false" customHeight="true" outlineLevel="0" collapsed="false">
      <c r="A26" s="7"/>
      <c r="B26" s="2" t="s">
        <v>51</v>
      </c>
      <c r="C26" s="8"/>
    </row>
    <row r="27" customFormat="false" ht="18" hidden="false" customHeight="true" outlineLevel="0" collapsed="false">
      <c r="A27" s="7"/>
      <c r="B27" s="2" t="s">
        <v>52</v>
      </c>
      <c r="C27" s="8"/>
    </row>
    <row r="28" customFormat="false" ht="18" hidden="false" customHeight="true" outlineLevel="0" collapsed="false">
      <c r="A28" s="7"/>
      <c r="B28" s="2" t="s">
        <v>53</v>
      </c>
      <c r="C28" s="8" t="s">
        <v>54</v>
      </c>
    </row>
    <row r="29" customFormat="false" ht="18" hidden="false" customHeight="true" outlineLevel="0" collapsed="false">
      <c r="A29" s="7"/>
      <c r="B29" s="2" t="s">
        <v>55</v>
      </c>
      <c r="C29" s="12" t="s">
        <v>56</v>
      </c>
    </row>
    <row r="30" customFormat="false" ht="18" hidden="false" customHeight="true" outlineLevel="0" collapsed="false">
      <c r="A30" s="7"/>
      <c r="B30" s="2" t="s">
        <v>57</v>
      </c>
      <c r="C30" s="12" t="s">
        <v>58</v>
      </c>
    </row>
    <row r="31" customFormat="false" ht="18" hidden="false" customHeight="true" outlineLevel="0" collapsed="false">
      <c r="A31" s="7"/>
      <c r="B31" s="2" t="s">
        <v>59</v>
      </c>
      <c r="C31" s="8" t="s">
        <v>60</v>
      </c>
    </row>
    <row r="32" customFormat="false" ht="18" hidden="false" customHeight="true" outlineLevel="0" collapsed="false">
      <c r="A32" s="7"/>
      <c r="B32" s="2" t="s">
        <v>61</v>
      </c>
      <c r="C32" s="8" t="s">
        <v>60</v>
      </c>
    </row>
    <row r="33" customFormat="false" ht="18" hidden="false" customHeight="true" outlineLevel="0" collapsed="false">
      <c r="A33" s="9"/>
      <c r="B33" s="10" t="s">
        <v>62</v>
      </c>
      <c r="C33" s="11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87890625" defaultRowHeight="15" zeroHeight="false" outlineLevelRow="0" outlineLevelCol="0"/>
  <cols>
    <col collapsed="false" customWidth="true" hidden="false" outlineLevel="0" max="1" min="1" style="3" width="14.46"/>
    <col collapsed="false" customWidth="true" hidden="false" outlineLevel="0" max="2" min="2" style="3" width="5.16"/>
    <col collapsed="false" customWidth="true" hidden="false" outlineLevel="0" max="3" min="3" style="3" width="24.79"/>
    <col collapsed="false" customWidth="true" hidden="false" outlineLevel="0" max="4" min="4" style="3" width="30.99"/>
    <col collapsed="false" customWidth="true" hidden="false" outlineLevel="0" max="5" min="5" style="3" width="9.28"/>
    <col collapsed="false" customWidth="true" hidden="false" outlineLevel="0" max="6" min="6" style="3" width="10.33"/>
    <col collapsed="false" customWidth="true" hidden="false" outlineLevel="0" max="7" min="7" style="3" width="7.23"/>
    <col collapsed="false" customWidth="true" hidden="false" outlineLevel="0" max="8" min="8" style="3" width="11.36"/>
    <col collapsed="false" customWidth="true" hidden="false" outlineLevel="0" max="9" min="9" style="3" width="9.28"/>
    <col collapsed="false" customWidth="true" hidden="false" outlineLevel="0" max="10" min="10" style="3" width="45.44"/>
  </cols>
  <sheetData>
    <row r="1" customFormat="false" ht="17.25" hidden="false" customHeight="true" outlineLevel="0" collapsed="false">
      <c r="A1" s="13" t="s">
        <v>63</v>
      </c>
    </row>
    <row r="2" customFormat="false" ht="15" hidden="false" customHeight="true" outlineLevel="0" collapsed="false">
      <c r="A2" s="14" t="s">
        <v>64</v>
      </c>
    </row>
    <row r="3" customFormat="false" ht="15" hidden="false" customHeight="true" outlineLevel="0" collapsed="false">
      <c r="A3" s="15" t="s">
        <v>65</v>
      </c>
    </row>
    <row r="5" customFormat="false" ht="33.75" hidden="false" customHeight="true" outlineLevel="0" collapsed="false">
      <c r="A5" s="16" t="s">
        <v>66</v>
      </c>
      <c r="B5" s="17" t="s">
        <v>67</v>
      </c>
      <c r="C5" s="16" t="s">
        <v>68</v>
      </c>
      <c r="D5" s="16" t="s">
        <v>69</v>
      </c>
      <c r="E5" s="16" t="s">
        <v>70</v>
      </c>
      <c r="F5" s="17" t="s">
        <v>71</v>
      </c>
      <c r="G5" s="16" t="s">
        <v>72</v>
      </c>
      <c r="H5" s="16" t="s">
        <v>73</v>
      </c>
      <c r="I5" s="16" t="s">
        <v>74</v>
      </c>
      <c r="J5" s="16" t="s">
        <v>75</v>
      </c>
    </row>
    <row r="6" customFormat="false" ht="15" hidden="false" customHeight="true" outlineLevel="0" collapsed="false">
      <c r="A6" s="18" t="s">
        <v>15</v>
      </c>
      <c r="B6" s="18" t="s">
        <v>76</v>
      </c>
      <c r="C6" s="18" t="s">
        <v>77</v>
      </c>
      <c r="D6" s="18" t="s">
        <v>17</v>
      </c>
      <c r="E6" s="18" t="n">
        <v>2</v>
      </c>
      <c r="F6" s="18" t="n">
        <v>90</v>
      </c>
      <c r="G6" s="18" t="n">
        <v>1</v>
      </c>
      <c r="H6" s="19" t="n">
        <f aca="false">IF(COUNT(E6:G6)=3,E6*12*F6*G6/60,"")</f>
        <v>36</v>
      </c>
      <c r="I6" s="18" t="s">
        <v>78</v>
      </c>
      <c r="J6" s="20" t="s">
        <v>79</v>
      </c>
    </row>
    <row r="7" customFormat="false" ht="15" hidden="false" customHeight="true" outlineLevel="0" collapsed="false">
      <c r="A7" s="21" t="s">
        <v>15</v>
      </c>
      <c r="B7" s="22" t="s">
        <v>80</v>
      </c>
      <c r="C7" s="21" t="s">
        <v>77</v>
      </c>
      <c r="D7" s="23" t="s">
        <v>17</v>
      </c>
      <c r="E7" s="24"/>
      <c r="F7" s="24"/>
      <c r="G7" s="24"/>
      <c r="H7" s="25" t="str">
        <f aca="false">IF(COUNT(E7:G7)=3,E7*12*F7*G7/60,"")</f>
        <v/>
      </c>
      <c r="I7" s="24"/>
      <c r="J7" s="26"/>
    </row>
    <row r="8" customFormat="false" ht="15" hidden="false" customHeight="true" outlineLevel="0" collapsed="false">
      <c r="A8" s="21" t="s">
        <v>15</v>
      </c>
      <c r="B8" s="22" t="s">
        <v>81</v>
      </c>
      <c r="C8" s="21" t="s">
        <v>82</v>
      </c>
      <c r="D8" s="23" t="s">
        <v>17</v>
      </c>
      <c r="E8" s="24"/>
      <c r="F8" s="24"/>
      <c r="G8" s="24"/>
      <c r="H8" s="25" t="str">
        <f aca="false">IF(COUNT(E8:G8)=3,E8*12*F8*G8/60,"")</f>
        <v/>
      </c>
      <c r="I8" s="24"/>
      <c r="J8" s="26"/>
    </row>
    <row r="9" customFormat="false" ht="15" hidden="false" customHeight="true" outlineLevel="0" collapsed="false">
      <c r="A9" s="21" t="s">
        <v>15</v>
      </c>
      <c r="B9" s="22" t="s">
        <v>83</v>
      </c>
      <c r="C9" s="21" t="s">
        <v>84</v>
      </c>
      <c r="D9" s="23" t="s">
        <v>17</v>
      </c>
      <c r="E9" s="24"/>
      <c r="F9" s="24"/>
      <c r="G9" s="24"/>
      <c r="H9" s="25" t="str">
        <f aca="false">IF(COUNT(E9:G9)=3,E9*12*F9*G9/60,"")</f>
        <v/>
      </c>
      <c r="I9" s="24"/>
      <c r="J9" s="26"/>
    </row>
    <row r="10" customFormat="false" ht="15" hidden="false" customHeight="true" outlineLevel="0" collapsed="false">
      <c r="A10" s="21" t="s">
        <v>15</v>
      </c>
      <c r="B10" s="22" t="s">
        <v>85</v>
      </c>
      <c r="C10" s="21" t="s">
        <v>86</v>
      </c>
      <c r="D10" s="23" t="s">
        <v>17</v>
      </c>
      <c r="E10" s="24"/>
      <c r="F10" s="24"/>
      <c r="G10" s="24"/>
      <c r="H10" s="25" t="str">
        <f aca="false">IF(COUNT(E10:G10)=3,E10*12*F10*G10/60,"")</f>
        <v/>
      </c>
      <c r="I10" s="24"/>
      <c r="J10" s="26"/>
    </row>
    <row r="11" customFormat="false" ht="15" hidden="false" customHeight="true" outlineLevel="0" collapsed="false">
      <c r="A11" s="21" t="s">
        <v>15</v>
      </c>
      <c r="B11" s="22" t="s">
        <v>87</v>
      </c>
      <c r="C11" s="21" t="s">
        <v>88</v>
      </c>
      <c r="D11" s="23" t="s">
        <v>17</v>
      </c>
      <c r="E11" s="24"/>
      <c r="F11" s="24"/>
      <c r="G11" s="24"/>
      <c r="H11" s="25" t="str">
        <f aca="false">IF(COUNT(E11:G11)=3,E11*12*F11*G11/60,"")</f>
        <v/>
      </c>
      <c r="I11" s="24"/>
      <c r="J11" s="26"/>
    </row>
    <row r="12" customFormat="false" ht="15" hidden="false" customHeight="true" outlineLevel="0" collapsed="false">
      <c r="A12" s="21" t="s">
        <v>15</v>
      </c>
      <c r="B12" s="22" t="s">
        <v>89</v>
      </c>
      <c r="C12" s="21" t="s">
        <v>90</v>
      </c>
      <c r="D12" s="23" t="s">
        <v>23</v>
      </c>
      <c r="E12" s="24"/>
      <c r="F12" s="24"/>
      <c r="G12" s="24"/>
      <c r="H12" s="25" t="str">
        <f aca="false">IF(COUNT(E12:G12)=3,E12*12*F12*G12/60,"")</f>
        <v/>
      </c>
      <c r="I12" s="24"/>
      <c r="J12" s="26"/>
    </row>
    <row r="13" customFormat="false" ht="15" hidden="false" customHeight="true" outlineLevel="0" collapsed="false">
      <c r="A13" s="21" t="s">
        <v>15</v>
      </c>
      <c r="B13" s="22" t="s">
        <v>91</v>
      </c>
      <c r="C13" s="21" t="s">
        <v>92</v>
      </c>
      <c r="D13" s="23" t="s">
        <v>17</v>
      </c>
      <c r="E13" s="24"/>
      <c r="F13" s="24"/>
      <c r="G13" s="24"/>
      <c r="H13" s="25" t="str">
        <f aca="false">IF(COUNT(E13:G13)=3,E13*12*F13*G13/60,"")</f>
        <v/>
      </c>
      <c r="I13" s="24"/>
      <c r="J13" s="26"/>
    </row>
    <row r="14" customFormat="false" ht="15" hidden="false" customHeight="true" outlineLevel="0" collapsed="false">
      <c r="A14" s="21" t="s">
        <v>15</v>
      </c>
      <c r="B14" s="22" t="s">
        <v>93</v>
      </c>
      <c r="C14" s="21" t="s">
        <v>94</v>
      </c>
      <c r="D14" s="23" t="s">
        <v>17</v>
      </c>
      <c r="E14" s="24"/>
      <c r="F14" s="24"/>
      <c r="G14" s="24"/>
      <c r="H14" s="25" t="str">
        <f aca="false">IF(COUNT(E14:G14)=3,E14*12*F14*G14/60,"")</f>
        <v/>
      </c>
      <c r="I14" s="24"/>
      <c r="J14" s="26"/>
    </row>
    <row r="15" customFormat="false" ht="15" hidden="false" customHeight="true" outlineLevel="0" collapsed="false">
      <c r="A15" s="21" t="s">
        <v>15</v>
      </c>
      <c r="B15" s="22" t="s">
        <v>95</v>
      </c>
      <c r="C15" s="21" t="s">
        <v>96</v>
      </c>
      <c r="D15" s="23" t="s">
        <v>17</v>
      </c>
      <c r="E15" s="24"/>
      <c r="F15" s="24"/>
      <c r="G15" s="24"/>
      <c r="H15" s="25" t="str">
        <f aca="false">IF(COUNT(E15:G15)=3,E15*12*F15*G15/60,"")</f>
        <v/>
      </c>
      <c r="I15" s="24"/>
      <c r="J15" s="26"/>
    </row>
    <row r="16" customFormat="false" ht="15" hidden="false" customHeight="true" outlineLevel="0" collapsed="false">
      <c r="A16" s="21" t="s">
        <v>15</v>
      </c>
      <c r="B16" s="22" t="s">
        <v>97</v>
      </c>
      <c r="C16" s="21" t="s">
        <v>98</v>
      </c>
      <c r="D16" s="23" t="s">
        <v>28</v>
      </c>
      <c r="E16" s="24"/>
      <c r="F16" s="24"/>
      <c r="G16" s="24"/>
      <c r="H16" s="25" t="str">
        <f aca="false">IF(COUNT(E16:G16)=3,E16*12*F16*G16/60,"")</f>
        <v/>
      </c>
      <c r="I16" s="24"/>
      <c r="J16" s="26"/>
    </row>
    <row r="17" customFormat="false" ht="15" hidden="false" customHeight="true" outlineLevel="0" collapsed="false">
      <c r="A17" s="21" t="s">
        <v>15</v>
      </c>
      <c r="B17" s="22" t="s">
        <v>99</v>
      </c>
      <c r="C17" s="21" t="s">
        <v>100</v>
      </c>
      <c r="D17" s="23" t="s">
        <v>17</v>
      </c>
      <c r="E17" s="24"/>
      <c r="F17" s="24"/>
      <c r="G17" s="24"/>
      <c r="H17" s="25" t="str">
        <f aca="false">IF(COUNT(E17:G17)=3,E17*12*F17*G17/60,"")</f>
        <v/>
      </c>
      <c r="I17" s="24"/>
      <c r="J17" s="26"/>
    </row>
    <row r="18" customFormat="false" ht="15" hidden="false" customHeight="true" outlineLevel="0" collapsed="false">
      <c r="A18" s="21" t="s">
        <v>15</v>
      </c>
      <c r="B18" s="22" t="s">
        <v>101</v>
      </c>
      <c r="C18" s="21" t="s">
        <v>102</v>
      </c>
      <c r="D18" s="23" t="s">
        <v>17</v>
      </c>
      <c r="E18" s="24"/>
      <c r="F18" s="24"/>
      <c r="G18" s="24"/>
      <c r="H18" s="25" t="str">
        <f aca="false">IF(COUNT(E18:G18)=3,E18*12*F18*G18/60,"")</f>
        <v/>
      </c>
      <c r="I18" s="24"/>
      <c r="J18" s="26"/>
    </row>
    <row r="19" customFormat="false" ht="29.25" hidden="false" customHeight="true" outlineLevel="0" collapsed="false">
      <c r="A19" s="21" t="s">
        <v>15</v>
      </c>
      <c r="B19" s="22" t="s">
        <v>103</v>
      </c>
      <c r="C19" s="21" t="s">
        <v>104</v>
      </c>
      <c r="D19" s="23" t="s">
        <v>32</v>
      </c>
      <c r="E19" s="24"/>
      <c r="F19" s="24"/>
      <c r="G19" s="24"/>
      <c r="H19" s="25" t="str">
        <f aca="false">IF(COUNT(E19:G19)=3,E19*12*F19*G19/60,"")</f>
        <v/>
      </c>
      <c r="I19" s="24"/>
      <c r="J19" s="26"/>
    </row>
    <row r="20" customFormat="false" ht="15" hidden="false" customHeight="true" outlineLevel="0" collapsed="false">
      <c r="A20" s="21" t="s">
        <v>33</v>
      </c>
      <c r="B20" s="22" t="s">
        <v>105</v>
      </c>
      <c r="C20" s="21" t="s">
        <v>106</v>
      </c>
      <c r="D20" s="23"/>
      <c r="E20" s="24"/>
      <c r="F20" s="24"/>
      <c r="G20" s="24"/>
      <c r="H20" s="25" t="str">
        <f aca="false">IF(COUNT(E20:G20)=3,E20*12*F20*G20/60,"")</f>
        <v/>
      </c>
      <c r="I20" s="24"/>
      <c r="J20" s="26"/>
    </row>
    <row r="21" customFormat="false" ht="15" hidden="false" customHeight="true" outlineLevel="0" collapsed="false">
      <c r="A21" s="21" t="s">
        <v>33</v>
      </c>
      <c r="B21" s="22" t="s">
        <v>107</v>
      </c>
      <c r="C21" s="21" t="s">
        <v>108</v>
      </c>
      <c r="D21" s="23"/>
      <c r="E21" s="24"/>
      <c r="F21" s="24"/>
      <c r="G21" s="24"/>
      <c r="H21" s="25" t="str">
        <f aca="false">IF(COUNT(E21:G21)=3,E21*12*F21*G21/60,"")</f>
        <v/>
      </c>
      <c r="I21" s="24"/>
      <c r="J21" s="26"/>
    </row>
    <row r="22" customFormat="false" ht="15" hidden="false" customHeight="true" outlineLevel="0" collapsed="false">
      <c r="A22" s="21" t="s">
        <v>33</v>
      </c>
      <c r="B22" s="22" t="s">
        <v>109</v>
      </c>
      <c r="C22" s="21" t="s">
        <v>110</v>
      </c>
      <c r="D22" s="23" t="s">
        <v>37</v>
      </c>
      <c r="E22" s="24"/>
      <c r="F22" s="24"/>
      <c r="G22" s="24"/>
      <c r="H22" s="25" t="str">
        <f aca="false">IF(COUNT(E22:G22)=3,E22*12*F22*G22/60,"")</f>
        <v/>
      </c>
      <c r="I22" s="24"/>
      <c r="J22" s="26"/>
    </row>
    <row r="23" customFormat="false" ht="15" hidden="false" customHeight="true" outlineLevel="0" collapsed="false">
      <c r="A23" s="21" t="s">
        <v>33</v>
      </c>
      <c r="B23" s="22" t="s">
        <v>111</v>
      </c>
      <c r="C23" s="21" t="s">
        <v>112</v>
      </c>
      <c r="D23" s="23" t="s">
        <v>39</v>
      </c>
      <c r="E23" s="24"/>
      <c r="F23" s="24"/>
      <c r="G23" s="24"/>
      <c r="H23" s="25" t="str">
        <f aca="false">IF(COUNT(E23:G23)=3,E23*12*F23*G23/60,"")</f>
        <v/>
      </c>
      <c r="I23" s="24"/>
      <c r="J23" s="26"/>
    </row>
    <row r="24" customFormat="false" ht="15" hidden="false" customHeight="true" outlineLevel="0" collapsed="false">
      <c r="A24" s="21" t="s">
        <v>33</v>
      </c>
      <c r="B24" s="22" t="s">
        <v>113</v>
      </c>
      <c r="C24" s="22" t="s">
        <v>114</v>
      </c>
      <c r="D24" s="23" t="s">
        <v>41</v>
      </c>
      <c r="E24" s="24"/>
      <c r="F24" s="24"/>
      <c r="G24" s="24"/>
      <c r="H24" s="25" t="str">
        <f aca="false">IF(COUNT(E24:G24)=3,E24*12*F24*G24/60,"")</f>
        <v/>
      </c>
      <c r="I24" s="24"/>
      <c r="J24" s="26"/>
    </row>
    <row r="25" customFormat="false" ht="15" hidden="false" customHeight="true" outlineLevel="0" collapsed="false">
      <c r="A25" s="21" t="s">
        <v>42</v>
      </c>
      <c r="B25" s="22" t="s">
        <v>115</v>
      </c>
      <c r="C25" s="21" t="s">
        <v>116</v>
      </c>
      <c r="D25" s="23"/>
      <c r="E25" s="24"/>
      <c r="F25" s="24"/>
      <c r="G25" s="24"/>
      <c r="H25" s="25" t="str">
        <f aca="false">IF(COUNT(E25:G25)=3,E25*12*F25*G25/60,"")</f>
        <v/>
      </c>
      <c r="I25" s="24"/>
      <c r="J25" s="26"/>
    </row>
    <row r="26" customFormat="false" ht="15" hidden="false" customHeight="true" outlineLevel="0" collapsed="false">
      <c r="A26" s="21" t="s">
        <v>42</v>
      </c>
      <c r="B26" s="22" t="s">
        <v>117</v>
      </c>
      <c r="C26" s="21" t="s">
        <v>88</v>
      </c>
      <c r="D26" s="23" t="s">
        <v>45</v>
      </c>
      <c r="E26" s="24"/>
      <c r="F26" s="24"/>
      <c r="G26" s="24"/>
      <c r="H26" s="25" t="str">
        <f aca="false">IF(COUNT(E26:G26)=3,E26*12*F26*G26/60,"")</f>
        <v/>
      </c>
      <c r="I26" s="24"/>
      <c r="J26" s="26"/>
    </row>
    <row r="27" customFormat="false" ht="15" hidden="false" customHeight="true" outlineLevel="0" collapsed="false">
      <c r="A27" s="21" t="s">
        <v>42</v>
      </c>
      <c r="B27" s="22" t="s">
        <v>118</v>
      </c>
      <c r="C27" s="21" t="s">
        <v>77</v>
      </c>
      <c r="D27" s="23" t="s">
        <v>47</v>
      </c>
      <c r="E27" s="24"/>
      <c r="F27" s="24"/>
      <c r="G27" s="24"/>
      <c r="H27" s="25" t="str">
        <f aca="false">IF(COUNT(E27:G27)=3,E27*12*F27*G27/60,"")</f>
        <v/>
      </c>
      <c r="I27" s="24"/>
      <c r="J27" s="26"/>
    </row>
    <row r="28" customFormat="false" ht="15" hidden="false" customHeight="true" outlineLevel="0" collapsed="false">
      <c r="A28" s="21" t="s">
        <v>42</v>
      </c>
      <c r="B28" s="22" t="s">
        <v>119</v>
      </c>
      <c r="C28" s="21" t="s">
        <v>120</v>
      </c>
      <c r="D28" s="23" t="s">
        <v>49</v>
      </c>
      <c r="E28" s="24"/>
      <c r="F28" s="24"/>
      <c r="G28" s="24"/>
      <c r="H28" s="25" t="str">
        <f aca="false">IF(COUNT(E28:G28)=3,E28*12*F28*G28/60,"")</f>
        <v/>
      </c>
      <c r="I28" s="24"/>
      <c r="J28" s="26"/>
    </row>
    <row r="29" customFormat="false" ht="15" hidden="false" customHeight="true" outlineLevel="0" collapsed="false">
      <c r="A29" s="21" t="s">
        <v>42</v>
      </c>
      <c r="B29" s="22" t="s">
        <v>121</v>
      </c>
      <c r="C29" s="21" t="s">
        <v>86</v>
      </c>
      <c r="D29" s="23" t="s">
        <v>49</v>
      </c>
      <c r="E29" s="24"/>
      <c r="F29" s="24"/>
      <c r="G29" s="24"/>
      <c r="H29" s="25" t="str">
        <f aca="false">IF(COUNT(E29:G29)=3,E29*12*F29*G29/60,"")</f>
        <v/>
      </c>
      <c r="I29" s="24"/>
      <c r="J29" s="26"/>
    </row>
    <row r="30" customFormat="false" ht="15" hidden="false" customHeight="true" outlineLevel="0" collapsed="false">
      <c r="A30" s="21" t="s">
        <v>42</v>
      </c>
      <c r="B30" s="22" t="s">
        <v>122</v>
      </c>
      <c r="C30" s="21" t="s">
        <v>123</v>
      </c>
      <c r="D30" s="23"/>
      <c r="E30" s="24"/>
      <c r="F30" s="24"/>
      <c r="G30" s="24"/>
      <c r="H30" s="25" t="str">
        <f aca="false">IF(COUNT(E30:G30)=3,E30*12*F30*G30/60,"")</f>
        <v/>
      </c>
      <c r="I30" s="24"/>
      <c r="J30" s="26"/>
    </row>
    <row r="31" customFormat="false" ht="15" hidden="false" customHeight="true" outlineLevel="0" collapsed="false">
      <c r="A31" s="21" t="s">
        <v>42</v>
      </c>
      <c r="B31" s="22" t="s">
        <v>124</v>
      </c>
      <c r="C31" s="21" t="s">
        <v>125</v>
      </c>
      <c r="D31" s="23"/>
      <c r="E31" s="24"/>
      <c r="F31" s="24"/>
      <c r="G31" s="24"/>
      <c r="H31" s="25" t="str">
        <f aca="false">IF(COUNT(E31:G31)=3,E31*12*F31*G31/60,"")</f>
        <v/>
      </c>
      <c r="I31" s="24"/>
      <c r="J31" s="26"/>
    </row>
    <row r="32" customFormat="false" ht="15" hidden="false" customHeight="true" outlineLevel="0" collapsed="false">
      <c r="A32" s="21" t="s">
        <v>42</v>
      </c>
      <c r="B32" s="22" t="s">
        <v>126</v>
      </c>
      <c r="C32" s="21" t="s">
        <v>127</v>
      </c>
      <c r="D32" s="23" t="s">
        <v>54</v>
      </c>
      <c r="E32" s="24"/>
      <c r="F32" s="24"/>
      <c r="G32" s="24"/>
      <c r="H32" s="25" t="str">
        <f aca="false">IF(COUNT(E32:G32)=3,E32*12*F32*G32/60,"")</f>
        <v/>
      </c>
      <c r="I32" s="24"/>
      <c r="J32" s="26"/>
    </row>
    <row r="33" customFormat="false" ht="15" hidden="false" customHeight="true" outlineLevel="0" collapsed="false">
      <c r="A33" s="21" t="s">
        <v>42</v>
      </c>
      <c r="B33" s="22" t="s">
        <v>128</v>
      </c>
      <c r="C33" s="21" t="s">
        <v>129</v>
      </c>
      <c r="D33" s="27" t="s">
        <v>130</v>
      </c>
      <c r="E33" s="24"/>
      <c r="F33" s="24"/>
      <c r="G33" s="24"/>
      <c r="H33" s="25" t="str">
        <f aca="false">IF(COUNT(E33:G33)=3,E33*12*F33*G33/60,"")</f>
        <v/>
      </c>
      <c r="I33" s="24"/>
      <c r="J33" s="26"/>
    </row>
    <row r="34" customFormat="false" ht="15" hidden="false" customHeight="true" outlineLevel="0" collapsed="false">
      <c r="A34" s="21" t="s">
        <v>42</v>
      </c>
      <c r="B34" s="22" t="s">
        <v>131</v>
      </c>
      <c r="C34" s="21" t="s">
        <v>132</v>
      </c>
      <c r="D34" s="27" t="s">
        <v>133</v>
      </c>
      <c r="E34" s="24"/>
      <c r="F34" s="24"/>
      <c r="G34" s="24"/>
      <c r="H34" s="25" t="str">
        <f aca="false">IF(COUNT(E34:G34)=3,E34*12*F34*G34/60,"")</f>
        <v/>
      </c>
      <c r="I34" s="24"/>
      <c r="J34" s="26"/>
    </row>
    <row r="35" customFormat="false" ht="15" hidden="false" customHeight="true" outlineLevel="0" collapsed="false">
      <c r="A35" s="21" t="s">
        <v>42</v>
      </c>
      <c r="B35" s="22" t="s">
        <v>134</v>
      </c>
      <c r="C35" s="22" t="s">
        <v>135</v>
      </c>
      <c r="D35" s="23" t="s">
        <v>60</v>
      </c>
      <c r="E35" s="24"/>
      <c r="F35" s="24"/>
      <c r="G35" s="24"/>
      <c r="H35" s="25" t="str">
        <f aca="false">IF(COUNT(E35:G35)=3,E35*12*F35*G35/60,"")</f>
        <v/>
      </c>
      <c r="I35" s="24"/>
      <c r="J35" s="26"/>
    </row>
    <row r="36" customFormat="false" ht="15" hidden="false" customHeight="true" outlineLevel="0" collapsed="false">
      <c r="A36" s="21" t="s">
        <v>42</v>
      </c>
      <c r="B36" s="22" t="s">
        <v>136</v>
      </c>
      <c r="C36" s="21" t="s">
        <v>137</v>
      </c>
      <c r="D36" s="23" t="s">
        <v>60</v>
      </c>
      <c r="E36" s="24"/>
      <c r="F36" s="24"/>
      <c r="G36" s="24"/>
      <c r="H36" s="25" t="str">
        <f aca="false">IF(COUNT(E36:G36)=3,E36*12*F36*G36/60,"")</f>
        <v/>
      </c>
      <c r="I36" s="24"/>
      <c r="J36" s="26"/>
    </row>
    <row r="37" customFormat="false" ht="15" hidden="false" customHeight="true" outlineLevel="0" collapsed="false">
      <c r="A37" s="21" t="s">
        <v>42</v>
      </c>
      <c r="B37" s="22" t="s">
        <v>138</v>
      </c>
      <c r="C37" s="21" t="s">
        <v>139</v>
      </c>
      <c r="D37" s="23" t="s">
        <v>17</v>
      </c>
      <c r="E37" s="24"/>
      <c r="F37" s="24"/>
      <c r="G37" s="24"/>
      <c r="H37" s="25" t="str">
        <f aca="false">IF(COUNT(E37:G37)=3,E37*12*F37*G37/60,"")</f>
        <v/>
      </c>
      <c r="I37" s="24"/>
      <c r="J37" s="26"/>
    </row>
    <row r="38" customFormat="false" ht="15" hidden="false" customHeight="true" outlineLevel="0" collapsed="false">
      <c r="A38" s="28" t="s">
        <v>140</v>
      </c>
      <c r="B38" s="29"/>
      <c r="C38" s="29"/>
      <c r="D38" s="29"/>
      <c r="E38" s="29"/>
      <c r="F38" s="29"/>
      <c r="G38" s="30" t="s">
        <v>141</v>
      </c>
      <c r="H38" s="31" t="n">
        <f aca="false">SUM(H7:H37)</f>
        <v>0</v>
      </c>
      <c r="I38" s="29"/>
      <c r="J38" s="29"/>
    </row>
    <row r="40" customFormat="false" ht="15" hidden="false" customHeight="true" outlineLevel="0" collapsed="false">
      <c r="A40" s="32" t="s">
        <v>142</v>
      </c>
    </row>
    <row r="41" customFormat="false" ht="15" hidden="false" customHeight="true" outlineLevel="0" collapsed="false">
      <c r="A41" s="33" t="s">
        <v>143</v>
      </c>
    </row>
    <row r="42" customFormat="false" ht="15" hidden="false" customHeight="true" outlineLevel="0" collapsed="false">
      <c r="A42" s="34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87890625" defaultRowHeight="15" zeroHeight="false" outlineLevelRow="0" outlineLevelCol="0"/>
  <cols>
    <col collapsed="false" customWidth="true" hidden="false" outlineLevel="0" max="1" min="1" style="3" width="5.16"/>
    <col collapsed="false" customWidth="true" hidden="false" outlineLevel="0" max="2" min="2" style="3" width="43.38"/>
    <col collapsed="false" customWidth="true" hidden="false" outlineLevel="0" max="3" min="3" style="3" width="26.85"/>
    <col collapsed="false" customWidth="true" hidden="false" outlineLevel="0" max="4" min="4" style="3" width="30.99"/>
    <col collapsed="false" customWidth="true" hidden="false" outlineLevel="0" max="6" min="5" style="3" width="8.26"/>
    <col collapsed="false" customWidth="true" hidden="false" outlineLevel="0" max="7" min="7" style="3" width="11.36"/>
    <col collapsed="false" customWidth="true" hidden="false" outlineLevel="0" max="8" min="8" style="3" width="47.51"/>
    <col collapsed="false" customWidth="true" hidden="false" outlineLevel="0" max="9" min="9" style="3" width="13"/>
    <col collapsed="false" customWidth="true" hidden="false" outlineLevel="0" max="10" min="10" style="3" width="52"/>
    <col collapsed="false" customWidth="true" hidden="false" outlineLevel="0" max="11" min="11" style="3" width="9"/>
    <col collapsed="false" customWidth="true" hidden="false" outlineLevel="0" max="12" min="12" style="3" width="50"/>
    <col collapsed="false" customWidth="true" hidden="false" outlineLevel="0" max="13" min="13" style="3" width="14"/>
    <col collapsed="false" customWidth="true" hidden="false" outlineLevel="0" max="14" min="14" style="3" width="54"/>
  </cols>
  <sheetData>
    <row r="1" customFormat="false" ht="21.75" hidden="false" customHeight="true" outlineLevel="0" collapsed="false">
      <c r="A1" s="35" t="s">
        <v>145</v>
      </c>
    </row>
    <row r="2" customFormat="false" ht="15" hidden="false" customHeight="true" outlineLevel="0" collapsed="false">
      <c r="A2" s="14" t="s">
        <v>146</v>
      </c>
    </row>
    <row r="3" customFormat="false" ht="15" hidden="false" customHeight="true" outlineLevel="0" collapsed="false">
      <c r="A3" s="15" t="s">
        <v>147</v>
      </c>
    </row>
    <row r="5" customFormat="false" ht="33.75" hidden="false" customHeight="true" outlineLevel="0" collapsed="false">
      <c r="A5" s="17" t="s">
        <v>67</v>
      </c>
      <c r="B5" s="16" t="s">
        <v>148</v>
      </c>
      <c r="C5" s="16" t="s">
        <v>149</v>
      </c>
      <c r="D5" s="16" t="s">
        <v>150</v>
      </c>
      <c r="E5" s="16" t="s">
        <v>151</v>
      </c>
      <c r="F5" s="16" t="s">
        <v>152</v>
      </c>
      <c r="G5" s="16" t="s">
        <v>153</v>
      </c>
      <c r="H5" s="16" t="s">
        <v>154</v>
      </c>
      <c r="I5" s="16" t="s">
        <v>155</v>
      </c>
      <c r="J5" s="16" t="s">
        <v>156</v>
      </c>
      <c r="K5" s="16" t="s">
        <v>157</v>
      </c>
      <c r="L5" s="17" t="s">
        <v>158</v>
      </c>
      <c r="M5" s="16" t="s">
        <v>159</v>
      </c>
      <c r="N5" s="16" t="s">
        <v>160</v>
      </c>
    </row>
    <row r="6" customFormat="false" ht="15" hidden="false" customHeight="true" outlineLevel="0" collapsed="false">
      <c r="A6" s="18" t="s">
        <v>76</v>
      </c>
      <c r="B6" s="20" t="s">
        <v>161</v>
      </c>
      <c r="C6" s="18" t="s">
        <v>162</v>
      </c>
      <c r="D6" s="20" t="s">
        <v>163</v>
      </c>
      <c r="E6" s="18" t="n">
        <v>4</v>
      </c>
      <c r="F6" s="18" t="n">
        <v>3</v>
      </c>
      <c r="G6" s="18" t="n">
        <f aca="false">IF(COUNT(E6:F6)=2,E6*F6,"")</f>
        <v>12</v>
      </c>
      <c r="H6" s="20" t="s">
        <v>164</v>
      </c>
      <c r="I6" s="36" t="s">
        <v>165</v>
      </c>
      <c r="J6" s="37" t="s">
        <v>166</v>
      </c>
      <c r="K6" s="38"/>
      <c r="L6" s="38"/>
      <c r="M6" s="38"/>
      <c r="N6" s="38"/>
    </row>
    <row r="7" customFormat="false" ht="15" hidden="false" customHeight="true" outlineLevel="0" collapsed="false">
      <c r="A7" s="22" t="s">
        <v>80</v>
      </c>
      <c r="B7" s="23" t="s">
        <v>167</v>
      </c>
      <c r="C7" s="21" t="s">
        <v>162</v>
      </c>
      <c r="D7" s="23" t="s">
        <v>168</v>
      </c>
      <c r="E7" s="39"/>
      <c r="F7" s="39"/>
      <c r="G7" s="40" t="str">
        <f aca="false">IF(COUNT(E7:F7)=2,E7*F7,"")</f>
        <v/>
      </c>
      <c r="H7" s="41"/>
      <c r="I7" s="42" t="s">
        <v>165</v>
      </c>
      <c r="J7" s="41" t="s">
        <v>169</v>
      </c>
      <c r="K7" s="43" t="s">
        <v>170</v>
      </c>
      <c r="L7" s="41" t="s">
        <v>171</v>
      </c>
      <c r="M7" s="44" t="s">
        <v>172</v>
      </c>
      <c r="N7" s="41" t="s">
        <v>173</v>
      </c>
    </row>
    <row r="8" customFormat="false" ht="29.25" hidden="false" customHeight="true" outlineLevel="0" collapsed="false">
      <c r="A8" s="22" t="s">
        <v>81</v>
      </c>
      <c r="B8" s="23" t="s">
        <v>174</v>
      </c>
      <c r="C8" s="21" t="s">
        <v>162</v>
      </c>
      <c r="D8" s="23" t="s">
        <v>175</v>
      </c>
      <c r="E8" s="39"/>
      <c r="F8" s="39"/>
      <c r="G8" s="40" t="str">
        <f aca="false">IF(COUNT(E8:F8)=2,E8*F8,"")</f>
        <v/>
      </c>
      <c r="H8" s="41" t="s">
        <v>176</v>
      </c>
      <c r="I8" s="42" t="s">
        <v>165</v>
      </c>
      <c r="J8" s="41" t="s">
        <v>177</v>
      </c>
      <c r="K8" s="45" t="s">
        <v>178</v>
      </c>
      <c r="L8" s="41" t="s">
        <v>179</v>
      </c>
      <c r="M8" s="44" t="s">
        <v>172</v>
      </c>
      <c r="N8" s="41" t="s">
        <v>180</v>
      </c>
    </row>
    <row r="9" customFormat="false" ht="29.25" hidden="false" customHeight="true" outlineLevel="0" collapsed="false">
      <c r="A9" s="22" t="s">
        <v>83</v>
      </c>
      <c r="B9" s="23" t="s">
        <v>181</v>
      </c>
      <c r="C9" s="21" t="s">
        <v>162</v>
      </c>
      <c r="D9" s="23" t="s">
        <v>182</v>
      </c>
      <c r="E9" s="39"/>
      <c r="F9" s="39"/>
      <c r="G9" s="40" t="str">
        <f aca="false">IF(COUNT(E9:F9)=2,E9*F9,"")</f>
        <v/>
      </c>
      <c r="H9" s="41" t="s">
        <v>183</v>
      </c>
      <c r="I9" s="46" t="s">
        <v>184</v>
      </c>
      <c r="J9" s="41" t="s">
        <v>185</v>
      </c>
      <c r="K9" s="47" t="s">
        <v>186</v>
      </c>
      <c r="L9" s="41" t="s">
        <v>187</v>
      </c>
      <c r="M9" s="48" t="s">
        <v>188</v>
      </c>
      <c r="N9" s="41" t="s">
        <v>189</v>
      </c>
    </row>
    <row r="10" customFormat="false" ht="29.25" hidden="false" customHeight="true" outlineLevel="0" collapsed="false">
      <c r="A10" s="22" t="s">
        <v>85</v>
      </c>
      <c r="B10" s="23" t="s">
        <v>190</v>
      </c>
      <c r="C10" s="21" t="s">
        <v>162</v>
      </c>
      <c r="D10" s="23" t="s">
        <v>191</v>
      </c>
      <c r="E10" s="39"/>
      <c r="F10" s="39"/>
      <c r="G10" s="40" t="str">
        <f aca="false">IF(COUNT(E10:F10)=2,E10*F10,"")</f>
        <v/>
      </c>
      <c r="H10" s="41"/>
      <c r="I10" s="49" t="s">
        <v>78</v>
      </c>
      <c r="J10" s="41" t="s">
        <v>192</v>
      </c>
      <c r="K10" s="50" t="s">
        <v>193</v>
      </c>
      <c r="L10" s="41" t="s">
        <v>194</v>
      </c>
      <c r="M10" s="51" t="s">
        <v>195</v>
      </c>
      <c r="N10" s="41" t="s">
        <v>196</v>
      </c>
    </row>
    <row r="11" customFormat="false" ht="15" hidden="false" customHeight="true" outlineLevel="0" collapsed="false">
      <c r="A11" s="22" t="s">
        <v>87</v>
      </c>
      <c r="B11" s="23" t="s">
        <v>197</v>
      </c>
      <c r="C11" s="21" t="s">
        <v>162</v>
      </c>
      <c r="D11" s="23" t="s">
        <v>198</v>
      </c>
      <c r="E11" s="39"/>
      <c r="F11" s="39"/>
      <c r="G11" s="40" t="str">
        <f aca="false">IF(COUNT(E11:F11)=2,E11*F11,"")</f>
        <v/>
      </c>
      <c r="H11" s="41" t="s">
        <v>199</v>
      </c>
      <c r="I11" s="48" t="s">
        <v>200</v>
      </c>
      <c r="J11" s="41" t="s">
        <v>201</v>
      </c>
      <c r="K11" s="50" t="s">
        <v>193</v>
      </c>
      <c r="L11" s="41" t="s">
        <v>202</v>
      </c>
      <c r="M11" s="48" t="s">
        <v>188</v>
      </c>
      <c r="N11" s="41" t="s">
        <v>203</v>
      </c>
    </row>
    <row r="12" customFormat="false" ht="15" hidden="false" customHeight="true" outlineLevel="0" collapsed="false">
      <c r="A12" s="22" t="s">
        <v>89</v>
      </c>
      <c r="B12" s="23" t="s">
        <v>204</v>
      </c>
      <c r="C12" s="21" t="s">
        <v>162</v>
      </c>
      <c r="D12" s="23" t="s">
        <v>205</v>
      </c>
      <c r="E12" s="39"/>
      <c r="F12" s="39"/>
      <c r="G12" s="40" t="str">
        <f aca="false">IF(COUNT(E12:F12)=2,E12*F12,"")</f>
        <v/>
      </c>
      <c r="H12" s="41"/>
      <c r="I12" s="42" t="s">
        <v>165</v>
      </c>
      <c r="J12" s="41" t="s">
        <v>206</v>
      </c>
      <c r="K12" s="45" t="s">
        <v>178</v>
      </c>
      <c r="L12" s="41" t="s">
        <v>207</v>
      </c>
      <c r="M12" s="44" t="s">
        <v>172</v>
      </c>
      <c r="N12" s="41" t="s">
        <v>208</v>
      </c>
    </row>
    <row r="13" customFormat="false" ht="29.25" hidden="false" customHeight="true" outlineLevel="0" collapsed="false">
      <c r="A13" s="22" t="s">
        <v>91</v>
      </c>
      <c r="B13" s="23" t="s">
        <v>209</v>
      </c>
      <c r="C13" s="21" t="s">
        <v>162</v>
      </c>
      <c r="D13" s="23" t="s">
        <v>210</v>
      </c>
      <c r="E13" s="39"/>
      <c r="F13" s="39"/>
      <c r="G13" s="40" t="str">
        <f aca="false">IF(COUNT(E13:F13)=2,E13*F13,"")</f>
        <v/>
      </c>
      <c r="H13" s="41"/>
      <c r="I13" s="46" t="s">
        <v>184</v>
      </c>
      <c r="J13" s="41" t="s">
        <v>211</v>
      </c>
      <c r="K13" s="43" t="s">
        <v>170</v>
      </c>
      <c r="L13" s="41" t="s">
        <v>212</v>
      </c>
      <c r="M13" s="44" t="s">
        <v>172</v>
      </c>
      <c r="N13" s="41" t="s">
        <v>213</v>
      </c>
    </row>
    <row r="14" customFormat="false" ht="15" hidden="false" customHeight="true" outlineLevel="0" collapsed="false">
      <c r="A14" s="22" t="s">
        <v>93</v>
      </c>
      <c r="B14" s="23" t="s">
        <v>214</v>
      </c>
      <c r="C14" s="21" t="s">
        <v>162</v>
      </c>
      <c r="D14" s="23" t="s">
        <v>215</v>
      </c>
      <c r="E14" s="39"/>
      <c r="F14" s="39"/>
      <c r="G14" s="40" t="str">
        <f aca="false">IF(COUNT(E14:F14)=2,E14*F14,"")</f>
        <v/>
      </c>
      <c r="H14" s="41"/>
      <c r="I14" s="46" t="s">
        <v>184</v>
      </c>
      <c r="J14" s="41" t="s">
        <v>216</v>
      </c>
      <c r="K14" s="43" t="s">
        <v>170</v>
      </c>
      <c r="L14" s="41" t="s">
        <v>217</v>
      </c>
      <c r="M14" s="51" t="s">
        <v>195</v>
      </c>
      <c r="N14" s="41" t="s">
        <v>218</v>
      </c>
    </row>
    <row r="15" customFormat="false" ht="29.25" hidden="false" customHeight="true" outlineLevel="0" collapsed="false">
      <c r="A15" s="22" t="s">
        <v>95</v>
      </c>
      <c r="B15" s="23" t="s">
        <v>219</v>
      </c>
      <c r="C15" s="21" t="s">
        <v>162</v>
      </c>
      <c r="D15" s="23" t="s">
        <v>220</v>
      </c>
      <c r="E15" s="39"/>
      <c r="F15" s="39"/>
      <c r="G15" s="40" t="str">
        <f aca="false">IF(COUNT(E15:F15)=2,E15*F15,"")</f>
        <v/>
      </c>
      <c r="H15" s="41"/>
      <c r="I15" s="49" t="s">
        <v>78</v>
      </c>
      <c r="J15" s="41" t="s">
        <v>221</v>
      </c>
      <c r="K15" s="50" t="s">
        <v>193</v>
      </c>
      <c r="L15" s="41" t="s">
        <v>222</v>
      </c>
      <c r="M15" s="51" t="s">
        <v>195</v>
      </c>
      <c r="N15" s="41" t="s">
        <v>223</v>
      </c>
    </row>
    <row r="16" customFormat="false" ht="15" hidden="false" customHeight="true" outlineLevel="0" collapsed="false">
      <c r="A16" s="22" t="s">
        <v>97</v>
      </c>
      <c r="B16" s="23" t="s">
        <v>224</v>
      </c>
      <c r="C16" s="21" t="s">
        <v>162</v>
      </c>
      <c r="D16" s="23" t="s">
        <v>168</v>
      </c>
      <c r="E16" s="39"/>
      <c r="F16" s="39"/>
      <c r="G16" s="40" t="str">
        <f aca="false">IF(COUNT(E16:F16)=2,E16*F16,"")</f>
        <v/>
      </c>
      <c r="H16" s="41"/>
      <c r="I16" s="42" t="s">
        <v>165</v>
      </c>
      <c r="J16" s="41" t="s">
        <v>225</v>
      </c>
      <c r="K16" s="43" t="s">
        <v>170</v>
      </c>
      <c r="L16" s="41" t="s">
        <v>226</v>
      </c>
      <c r="M16" s="44" t="s">
        <v>172</v>
      </c>
      <c r="N16" s="41" t="s">
        <v>227</v>
      </c>
    </row>
    <row r="17" customFormat="false" ht="29.25" hidden="false" customHeight="true" outlineLevel="0" collapsed="false">
      <c r="A17" s="22" t="s">
        <v>99</v>
      </c>
      <c r="B17" s="23" t="s">
        <v>228</v>
      </c>
      <c r="C17" s="21" t="s">
        <v>162</v>
      </c>
      <c r="D17" s="23" t="s">
        <v>229</v>
      </c>
      <c r="E17" s="39"/>
      <c r="F17" s="39"/>
      <c r="G17" s="40" t="str">
        <f aca="false">IF(COUNT(E17:F17)=2,E17*F17,"")</f>
        <v/>
      </c>
      <c r="H17" s="41"/>
      <c r="I17" s="42" t="s">
        <v>165</v>
      </c>
      <c r="J17" s="41" t="s">
        <v>230</v>
      </c>
      <c r="K17" s="43" t="s">
        <v>170</v>
      </c>
      <c r="L17" s="41" t="s">
        <v>231</v>
      </c>
      <c r="M17" s="44" t="s">
        <v>172</v>
      </c>
      <c r="N17" s="41" t="s">
        <v>232</v>
      </c>
    </row>
    <row r="18" customFormat="false" ht="40.5" hidden="false" customHeight="true" outlineLevel="0" collapsed="false">
      <c r="A18" s="52" t="s">
        <v>101</v>
      </c>
      <c r="B18" s="53" t="s">
        <v>233</v>
      </c>
      <c r="C18" s="54" t="s">
        <v>234</v>
      </c>
      <c r="D18" s="53" t="s">
        <v>235</v>
      </c>
      <c r="E18" s="39"/>
      <c r="F18" s="39"/>
      <c r="G18" s="40" t="str">
        <f aca="false">IF(COUNT(E18:F18)=2,E18*F18,"")</f>
        <v/>
      </c>
      <c r="H18" s="41" t="s">
        <v>236</v>
      </c>
      <c r="I18" s="55" t="s">
        <v>237</v>
      </c>
      <c r="J18" s="41" t="s">
        <v>238</v>
      </c>
      <c r="K18" s="45" t="s">
        <v>178</v>
      </c>
      <c r="L18" s="41" t="s">
        <v>239</v>
      </c>
      <c r="M18" s="44" t="s">
        <v>172</v>
      </c>
      <c r="N18" s="41" t="s">
        <v>240</v>
      </c>
    </row>
    <row r="20" customFormat="false" ht="15" hidden="false" customHeight="true" outlineLevel="0" collapsed="false">
      <c r="A20" s="32" t="s">
        <v>241</v>
      </c>
    </row>
    <row r="21" customFormat="false" ht="15" hidden="false" customHeight="true" outlineLevel="0" collapsed="false">
      <c r="A21" s="56"/>
    </row>
    <row r="22" customFormat="false" ht="15" hidden="false" customHeight="true" outlineLevel="0" collapsed="false">
      <c r="A22" s="57" t="s">
        <v>242</v>
      </c>
    </row>
    <row r="23" customFormat="false" ht="15" hidden="false" customHeight="true" outlineLevel="0" collapsed="false">
      <c r="A23" s="56" t="s">
        <v>243</v>
      </c>
    </row>
    <row r="24" customFormat="false" ht="15" hidden="false" customHeight="true" outlineLevel="0" collapsed="false">
      <c r="A24" s="56" t="s">
        <v>244</v>
      </c>
    </row>
    <row r="25" customFormat="false" ht="15" hidden="false" customHeight="true" outlineLevel="0" collapsed="false">
      <c r="A25" s="56" t="s">
        <v>245</v>
      </c>
    </row>
    <row r="26" customFormat="false" ht="15" hidden="false" customHeight="true" outlineLevel="0" collapsed="false">
      <c r="A26" s="56" t="s">
        <v>246</v>
      </c>
    </row>
    <row r="27" customFormat="false" ht="15" hidden="false" customHeight="true" outlineLevel="0" collapsed="false">
      <c r="A27" s="56"/>
    </row>
    <row r="28" customFormat="false" ht="15" hidden="false" customHeight="true" outlineLevel="0" collapsed="false">
      <c r="A28" s="57" t="s">
        <v>247</v>
      </c>
    </row>
    <row r="29" customFormat="false" ht="15" hidden="false" customHeight="true" outlineLevel="0" collapsed="false">
      <c r="A29" s="56" t="s">
        <v>248</v>
      </c>
    </row>
    <row r="30" customFormat="false" ht="15" hidden="false" customHeight="true" outlineLevel="0" collapsed="false">
      <c r="A30" s="56" t="s">
        <v>249</v>
      </c>
    </row>
    <row r="31" customFormat="false" ht="15" hidden="false" customHeight="true" outlineLevel="0" collapsed="false">
      <c r="A31" s="56" t="s">
        <v>250</v>
      </c>
    </row>
    <row r="32" customFormat="false" ht="15" hidden="false" customHeight="true" outlineLevel="0" collapsed="false">
      <c r="A32" s="56"/>
    </row>
    <row r="33" customFormat="false" ht="15" hidden="false" customHeight="true" outlineLevel="0" collapsed="false">
      <c r="A33" s="57" t="s">
        <v>251</v>
      </c>
    </row>
    <row r="34" customFormat="false" ht="15" hidden="false" customHeight="true" outlineLevel="0" collapsed="false">
      <c r="A34" s="56" t="s">
        <v>252</v>
      </c>
    </row>
    <row r="35" customFormat="false" ht="15" hidden="false" customHeight="true" outlineLevel="0" collapsed="false">
      <c r="A35" s="56" t="s">
        <v>253</v>
      </c>
    </row>
    <row r="36" customFormat="false" ht="15" hidden="false" customHeight="true" outlineLevel="0" collapsed="false">
      <c r="A36" s="56" t="s">
        <v>254</v>
      </c>
    </row>
    <row r="37" customFormat="false" ht="15" hidden="false" customHeight="true" outlineLevel="0" collapsed="false">
      <c r="A37" s="56" t="s">
        <v>255</v>
      </c>
    </row>
    <row r="38" customFormat="false" ht="15" hidden="false" customHeight="true" outlineLevel="0" collapsed="false">
      <c r="A38" s="56" t="s">
        <v>256</v>
      </c>
    </row>
    <row r="39" customFormat="false" ht="15" hidden="false" customHeight="true" outlineLevel="0" collapsed="false">
      <c r="A39" s="56" t="s">
        <v>257</v>
      </c>
    </row>
    <row r="40" customFormat="false" ht="15" hidden="false" customHeight="true" outlineLevel="0" collapsed="false">
      <c r="A40" s="56"/>
    </row>
    <row r="41" customFormat="false" ht="15" hidden="false" customHeight="true" outlineLevel="0" collapsed="false">
      <c r="A41" s="57" t="s">
        <v>258</v>
      </c>
    </row>
    <row r="42" customFormat="false" ht="15" hidden="false" customHeight="true" outlineLevel="0" collapsed="false">
      <c r="A42" s="56" t="s">
        <v>259</v>
      </c>
    </row>
    <row r="43" customFormat="false" ht="15" hidden="false" customHeight="true" outlineLevel="0" collapsed="false">
      <c r="A43" s="56" t="s">
        <v>260</v>
      </c>
    </row>
    <row r="44" customFormat="false" ht="15" hidden="false" customHeight="true" outlineLevel="0" collapsed="false">
      <c r="A44" s="56" t="s">
        <v>261</v>
      </c>
    </row>
    <row r="45" customFormat="false" ht="15" hidden="false" customHeight="true" outlineLevel="0" collapsed="false">
      <c r="A45" s="56" t="s">
        <v>262</v>
      </c>
    </row>
    <row r="46" customFormat="false" ht="15" hidden="false" customHeight="true" outlineLevel="0" collapsed="false">
      <c r="A46" s="56" t="s">
        <v>263</v>
      </c>
    </row>
    <row r="47" customFormat="false" ht="15" hidden="false" customHeight="true" outlineLevel="0" collapsed="false">
      <c r="A47" s="56" t="s">
        <v>264</v>
      </c>
    </row>
    <row r="48" customFormat="false" ht="15" hidden="false" customHeight="true" outlineLevel="0" collapsed="false">
      <c r="A48" s="56" t="s">
        <v>265</v>
      </c>
    </row>
    <row r="49" customFormat="false" ht="15" hidden="false" customHeight="true" outlineLevel="0" collapsed="false">
      <c r="A49" s="56" t="s">
        <v>266</v>
      </c>
    </row>
    <row r="50" customFormat="false" ht="15" hidden="false" customHeight="true" outlineLevel="0" collapsed="false">
      <c r="A50" s="56"/>
    </row>
    <row r="51" customFormat="false" ht="15" hidden="false" customHeight="true" outlineLevel="0" collapsed="false">
      <c r="A51" s="57" t="s">
        <v>267</v>
      </c>
    </row>
    <row r="52" customFormat="false" ht="15" hidden="false" customHeight="true" outlineLevel="0" collapsed="false">
      <c r="A52" s="56" t="s">
        <v>268</v>
      </c>
    </row>
    <row r="53" customFormat="false" ht="15" hidden="false" customHeight="true" outlineLevel="0" collapsed="false">
      <c r="A53" s="56" t="s">
        <v>269</v>
      </c>
    </row>
    <row r="54" customFormat="false" ht="15" hidden="false" customHeight="true" outlineLevel="0" collapsed="false">
      <c r="A54" s="56" t="s">
        <v>270</v>
      </c>
    </row>
    <row r="55" customFormat="false" ht="15" hidden="false" customHeight="false" outlineLevel="0" collapsed="false">
      <c r="A55" s="56"/>
    </row>
    <row r="56" customFormat="false" ht="15" hidden="false" customHeight="false" outlineLevel="0" collapsed="false">
      <c r="A56" s="57" t="s">
        <v>271</v>
      </c>
    </row>
    <row r="57" customFormat="false" ht="15" hidden="false" customHeight="false" outlineLevel="0" collapsed="false">
      <c r="A57" s="56" t="s">
        <v>272</v>
      </c>
    </row>
    <row r="58" customFormat="false" ht="15" hidden="false" customHeight="false" outlineLevel="0" collapsed="false">
      <c r="A58" s="56" t="s">
        <v>273</v>
      </c>
    </row>
    <row r="59" customFormat="false" ht="15" hidden="false" customHeight="false" outlineLevel="0" collapsed="false">
      <c r="A59" s="56" t="s">
        <v>274</v>
      </c>
    </row>
    <row r="60" customFormat="false" ht="15" hidden="false" customHeight="false" outlineLevel="0" collapsed="false">
      <c r="A60" s="56"/>
    </row>
    <row r="61" customFormat="false" ht="15" hidden="false" customHeight="false" outlineLevel="0" collapsed="false">
      <c r="A61" s="56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2026-09-24T01:31:32Z</dcterms:created>
  <dc:creator>ICT-02pc</dc:creator>
  <dc:description/>
  <dc:language>ja-JP</dc:language>
  <cp:lastModifiedBy>ICT-02pc</cp:lastModifiedBy>
  <dcterms:modified xsi:type="dcterms:W3CDTF">2026-09-24T04:04:58Z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